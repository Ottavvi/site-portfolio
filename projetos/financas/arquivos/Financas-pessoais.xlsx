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4.xml" ContentType="application/vnd.openxmlformats-officedocument.drawing+xml"/>
  <Override PartName="/xl/tables/table8.xml" ContentType="application/vnd.openxmlformats-officedocument.spreadsheetml.tab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5.xml" ContentType="application/vnd.openxmlformats-officedocument.drawing+xml"/>
  <Override PartName="/xl/comments2.xml" ContentType="application/vnd.openxmlformats-officedocument.spreadsheetml.comments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13_ncr:1_{AFB02009-F10E-45AC-BF13-633346251457}" xr6:coauthVersionLast="47" xr6:coauthVersionMax="47" xr10:uidLastSave="{00000000-0000-0000-0000-000000000000}"/>
  <bookViews>
    <workbookView xWindow="-108" yWindow="-108" windowWidth="23256" windowHeight="13176" xr2:uid="{7BAF0893-4EAA-4C9E-A531-05A60A10AB16}"/>
  </bookViews>
  <sheets>
    <sheet name="Painel" sheetId="1" r:id="rId1"/>
    <sheet name="Celular" sheetId="2" r:id="rId2"/>
    <sheet name="Lançamentos" sheetId="3" r:id="rId3"/>
    <sheet name="Contas fixas" sheetId="4" r:id="rId4"/>
    <sheet name="Cartão" sheetId="5" r:id="rId5"/>
    <sheet name="Dívidas" sheetId="6" r:id="rId6"/>
    <sheet name="Categorias" sheetId="7" r:id="rId7"/>
    <sheet name="Metas" sheetId="8" r:id="rId8"/>
    <sheet name="Patrimônio" sheetId="9" r:id="rId9"/>
    <sheet name="Simulador" sheetId="10" r:id="rId10"/>
    <sheet name="Resumo" sheetId="11" r:id="rId11"/>
    <sheet name="Como usar" sheetId="12" r:id="rId12"/>
    <sheet name="Calc" sheetId="13" state="hidden" r:id="rId13"/>
  </sheets>
  <definedNames>
    <definedName name="_xlnm.Print_Area" localSheetId="0">Painel!$A$1:$Q$111</definedName>
    <definedName name="lstCartoes">tbCartoes[Cartão]</definedName>
    <definedName name="lstCategorias">tbCategorias[Categoria]</definedName>
    <definedName name="lstGrupos">Categorias!$I$7:$I$10</definedName>
    <definedName name="lstMeses">Resumo!$B$7:$B$18</definedName>
    <definedName name="lstPagamento">Categorias!$J$7:$J$11</definedName>
    <definedName name="lstTipos">Categorias!$H$7:$H$9</definedName>
    <definedName name="lstTiposPatrimonio">Patrimônio!$P$6:$P$10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4" i="12" l="1"/>
  <c r="B53" i="2"/>
  <c r="B112" i="1"/>
  <c r="L3" i="12"/>
  <c r="K3" i="12"/>
  <c r="J3" i="12"/>
  <c r="I3" i="12"/>
  <c r="H3" i="12"/>
  <c r="G3" i="12"/>
  <c r="F3" i="12"/>
  <c r="E3" i="12"/>
  <c r="D3" i="12"/>
  <c r="C3" i="12"/>
  <c r="B3" i="12"/>
  <c r="E26" i="7"/>
  <c r="E25" i="7"/>
  <c r="E27" i="7" s="1"/>
  <c r="B18" i="10"/>
  <c r="B19" i="10"/>
  <c r="B20" i="10"/>
  <c r="B21" i="10"/>
  <c r="B22" i="10"/>
  <c r="R30" i="10"/>
  <c r="R29" i="10"/>
  <c r="R28" i="10"/>
  <c r="R27" i="10"/>
  <c r="R26" i="10"/>
  <c r="R25" i="10"/>
  <c r="R24" i="10"/>
  <c r="R23" i="10"/>
  <c r="R22" i="10"/>
  <c r="R21" i="10"/>
  <c r="R20" i="10"/>
  <c r="R19" i="10"/>
  <c r="R18" i="10"/>
  <c r="R17" i="10"/>
  <c r="R16" i="10"/>
  <c r="R15" i="10"/>
  <c r="R14" i="10"/>
  <c r="R13" i="10"/>
  <c r="R12" i="10"/>
  <c r="R11" i="10"/>
  <c r="R10" i="10"/>
  <c r="R9" i="10"/>
  <c r="R8" i="10"/>
  <c r="R7" i="10"/>
  <c r="R6" i="10"/>
  <c r="F10" i="10"/>
  <c r="C10" i="10"/>
  <c r="C11" i="10" s="1"/>
  <c r="M3" i="10"/>
  <c r="L3" i="10"/>
  <c r="J3" i="10"/>
  <c r="I3" i="10"/>
  <c r="H3" i="10"/>
  <c r="G3" i="10"/>
  <c r="F3" i="10"/>
  <c r="E3" i="10"/>
  <c r="D3" i="10"/>
  <c r="C3" i="10"/>
  <c r="B3" i="10"/>
  <c r="Q6" i="6"/>
  <c r="Q7" i="6"/>
  <c r="Q8" i="6"/>
  <c r="O6" i="6"/>
  <c r="O7" i="6"/>
  <c r="N6" i="6"/>
  <c r="N7" i="6"/>
  <c r="J6" i="6"/>
  <c r="C14" i="6" s="1"/>
  <c r="J7" i="6"/>
  <c r="M3" i="6"/>
  <c r="L3" i="6"/>
  <c r="K3" i="6"/>
  <c r="J3" i="6"/>
  <c r="I3" i="6"/>
  <c r="H3" i="6"/>
  <c r="F3" i="6"/>
  <c r="E3" i="6"/>
  <c r="D3" i="6"/>
  <c r="C3" i="6"/>
  <c r="B3" i="6"/>
  <c r="M8" i="5"/>
  <c r="M9" i="5" s="1"/>
  <c r="M10" i="5" s="1"/>
  <c r="M11" i="5" s="1"/>
  <c r="M12" i="5" s="1"/>
  <c r="M13" i="5" s="1"/>
  <c r="M14" i="5" s="1"/>
  <c r="M15" i="5" s="1"/>
  <c r="M16" i="5" s="1"/>
  <c r="M17" i="5" s="1"/>
  <c r="M18" i="5" s="1"/>
  <c r="M19" i="5" s="1"/>
  <c r="N7" i="5"/>
  <c r="O7" i="5"/>
  <c r="P7" i="5"/>
  <c r="G8" i="5"/>
  <c r="G9" i="5"/>
  <c r="G10" i="5"/>
  <c r="I23" i="5"/>
  <c r="I24" i="5"/>
  <c r="I25" i="5"/>
  <c r="I26" i="5"/>
  <c r="H23" i="5"/>
  <c r="H24" i="5"/>
  <c r="H25" i="5"/>
  <c r="H26" i="5"/>
  <c r="M3" i="5"/>
  <c r="L3" i="5"/>
  <c r="K3" i="5"/>
  <c r="J3" i="5"/>
  <c r="I3" i="5"/>
  <c r="H3" i="5"/>
  <c r="G3" i="5"/>
  <c r="E3" i="5"/>
  <c r="D3" i="5"/>
  <c r="C3" i="5"/>
  <c r="B3" i="5"/>
  <c r="C41" i="2"/>
  <c r="B38" i="2"/>
  <c r="B37" i="2"/>
  <c r="B36" i="2"/>
  <c r="B35" i="2"/>
  <c r="C17" i="2"/>
  <c r="C4" i="2"/>
  <c r="B4" i="2"/>
  <c r="C3" i="2"/>
  <c r="B3" i="2"/>
  <c r="E15" i="9"/>
  <c r="F15" i="9" s="1"/>
  <c r="E16" i="9"/>
  <c r="F16" i="9" s="1"/>
  <c r="E17" i="9"/>
  <c r="F17" i="9" s="1"/>
  <c r="E18" i="9"/>
  <c r="F18" i="9" s="1"/>
  <c r="E19" i="9"/>
  <c r="F19" i="9" s="1"/>
  <c r="C16" i="9"/>
  <c r="C15" i="9"/>
  <c r="I6" i="9"/>
  <c r="I7" i="9"/>
  <c r="I8" i="9"/>
  <c r="I9" i="9"/>
  <c r="I10" i="9"/>
  <c r="I11" i="9"/>
  <c r="G6" i="9"/>
  <c r="G7" i="9"/>
  <c r="H7" i="9" s="1"/>
  <c r="G8" i="9"/>
  <c r="H8" i="9" s="1"/>
  <c r="G9" i="9"/>
  <c r="H9" i="9" s="1"/>
  <c r="G10" i="9"/>
  <c r="H10" i="9" s="1"/>
  <c r="G11" i="9"/>
  <c r="H11" i="9" s="1"/>
  <c r="M3" i="9"/>
  <c r="L3" i="9"/>
  <c r="K3" i="9"/>
  <c r="I3" i="9"/>
  <c r="H3" i="9"/>
  <c r="G3" i="9"/>
  <c r="F3" i="9"/>
  <c r="E3" i="9"/>
  <c r="D3" i="9"/>
  <c r="C3" i="9"/>
  <c r="B3" i="9"/>
  <c r="L8" i="4"/>
  <c r="G8" i="4"/>
  <c r="G9" i="4"/>
  <c r="G10" i="4"/>
  <c r="G11" i="4"/>
  <c r="G12" i="4"/>
  <c r="G13" i="4"/>
  <c r="G14" i="4"/>
  <c r="G15" i="4"/>
  <c r="G16" i="4"/>
  <c r="G17" i="4"/>
  <c r="G18" i="4"/>
  <c r="G19" i="4"/>
  <c r="M3" i="4"/>
  <c r="L3" i="4"/>
  <c r="K3" i="4"/>
  <c r="J3" i="4"/>
  <c r="I3" i="4"/>
  <c r="H3" i="4"/>
  <c r="G3" i="4"/>
  <c r="F3" i="4"/>
  <c r="D3" i="4"/>
  <c r="C3" i="4"/>
  <c r="B3" i="4"/>
  <c r="D91" i="1"/>
  <c r="O84" i="1"/>
  <c r="O81" i="1"/>
  <c r="N76" i="1"/>
  <c r="J66" i="1"/>
  <c r="J67" i="1"/>
  <c r="J68" i="1"/>
  <c r="J69" i="1"/>
  <c r="J70" i="1"/>
  <c r="B10" i="13"/>
  <c r="B11" i="13"/>
  <c r="B12" i="13"/>
  <c r="B13" i="13"/>
  <c r="B14" i="13"/>
  <c r="B7" i="11"/>
  <c r="M3" i="11"/>
  <c r="K3" i="11"/>
  <c r="J3" i="11"/>
  <c r="I3" i="11"/>
  <c r="H3" i="11"/>
  <c r="G3" i="11"/>
  <c r="F3" i="11"/>
  <c r="E3" i="11"/>
  <c r="D3" i="11"/>
  <c r="C3" i="11"/>
  <c r="B3" i="11"/>
  <c r="H6" i="8"/>
  <c r="H7" i="8"/>
  <c r="H8" i="8"/>
  <c r="H9" i="8"/>
  <c r="G6" i="8"/>
  <c r="G7" i="8"/>
  <c r="G8" i="8"/>
  <c r="G9" i="8"/>
  <c r="F6" i="8"/>
  <c r="C35" i="2" s="1"/>
  <c r="F7" i="8"/>
  <c r="C36" i="2" s="1"/>
  <c r="F8" i="8"/>
  <c r="C37" i="2" s="1"/>
  <c r="F9" i="8"/>
  <c r="C38" i="2" s="1"/>
  <c r="M3" i="8"/>
  <c r="L3" i="8"/>
  <c r="K3" i="8"/>
  <c r="J3" i="8"/>
  <c r="H3" i="8"/>
  <c r="G3" i="8"/>
  <c r="F3" i="8"/>
  <c r="E3" i="8"/>
  <c r="D3" i="8"/>
  <c r="C3" i="8"/>
  <c r="B3" i="8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M3" i="3"/>
  <c r="L3" i="3"/>
  <c r="K3" i="3"/>
  <c r="J3" i="3"/>
  <c r="I3" i="3"/>
  <c r="H3" i="3"/>
  <c r="G3" i="3"/>
  <c r="F3" i="3"/>
  <c r="E3" i="3"/>
  <c r="C3" i="3"/>
  <c r="B3" i="3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M3" i="7"/>
  <c r="L3" i="7"/>
  <c r="K3" i="7"/>
  <c r="J3" i="7"/>
  <c r="I3" i="7"/>
  <c r="G3" i="7"/>
  <c r="F3" i="7"/>
  <c r="E3" i="7"/>
  <c r="D3" i="7"/>
  <c r="C3" i="7"/>
  <c r="B3" i="7"/>
  <c r="C18" i="6" l="1"/>
  <c r="C10" i="13"/>
  <c r="C11" i="13"/>
  <c r="E10" i="13" s="1"/>
  <c r="C12" i="13"/>
  <c r="C13" i="13"/>
  <c r="C14" i="13"/>
  <c r="I6" i="8"/>
  <c r="E18" i="10" s="1"/>
  <c r="I7" i="8"/>
  <c r="I8" i="8"/>
  <c r="E20" i="10" s="1"/>
  <c r="I9" i="8"/>
  <c r="E21" i="10" s="1"/>
  <c r="H8" i="4"/>
  <c r="H9" i="4"/>
  <c r="I9" i="4" s="1"/>
  <c r="H19" i="4"/>
  <c r="I19" i="4" s="1"/>
  <c r="D66" i="1"/>
  <c r="D67" i="1"/>
  <c r="D68" i="1"/>
  <c r="C18" i="10"/>
  <c r="D18" i="10"/>
  <c r="F18" i="10" s="1"/>
  <c r="C19" i="10"/>
  <c r="E19" i="10"/>
  <c r="D19" i="10"/>
  <c r="F19" i="10" s="1"/>
  <c r="C20" i="10"/>
  <c r="D20" i="10"/>
  <c r="F20" i="10" s="1"/>
  <c r="C21" i="10"/>
  <c r="D21" i="10"/>
  <c r="F21" i="10" s="1"/>
  <c r="C22" i="10"/>
  <c r="E22" i="10"/>
  <c r="D22" i="10"/>
  <c r="F22" i="10" s="1"/>
  <c r="C12" i="10"/>
  <c r="C13" i="10"/>
  <c r="R6" i="6"/>
  <c r="R7" i="6"/>
  <c r="S8" i="6"/>
  <c r="R8" i="6"/>
  <c r="K6" i="6"/>
  <c r="L6" i="6"/>
  <c r="S6" i="6" s="1"/>
  <c r="K7" i="6"/>
  <c r="L7" i="6"/>
  <c r="P8" i="5"/>
  <c r="P9" i="5"/>
  <c r="P10" i="5"/>
  <c r="P11" i="5"/>
  <c r="P12" i="5"/>
  <c r="P13" i="5"/>
  <c r="P14" i="5"/>
  <c r="P15" i="5"/>
  <c r="P16" i="5"/>
  <c r="P17" i="5"/>
  <c r="P18" i="5"/>
  <c r="P19" i="5"/>
  <c r="J8" i="5"/>
  <c r="J9" i="5"/>
  <c r="H10" i="5"/>
  <c r="I10" i="5"/>
  <c r="J10" i="5"/>
  <c r="K10" i="5"/>
  <c r="J23" i="5"/>
  <c r="M23" i="5"/>
  <c r="J24" i="5"/>
  <c r="M24" i="5"/>
  <c r="J25" i="5"/>
  <c r="J26" i="5"/>
  <c r="L26" i="5"/>
  <c r="N26" i="5" s="1"/>
  <c r="C47" i="2"/>
  <c r="C48" i="2"/>
  <c r="G19" i="9"/>
  <c r="G17" i="9"/>
  <c r="G15" i="9"/>
  <c r="G18" i="9"/>
  <c r="G16" i="9"/>
  <c r="C17" i="9"/>
  <c r="C18" i="9" s="1"/>
  <c r="C42" i="2"/>
  <c r="H6" i="9"/>
  <c r="N66" i="1"/>
  <c r="M66" i="1"/>
  <c r="O66" i="1" s="1"/>
  <c r="N67" i="1"/>
  <c r="M67" i="1"/>
  <c r="O67" i="1" s="1"/>
  <c r="M68" i="1"/>
  <c r="O68" i="1" s="1"/>
  <c r="N68" i="1"/>
  <c r="N69" i="1"/>
  <c r="M69" i="1"/>
  <c r="N70" i="1"/>
  <c r="M70" i="1"/>
  <c r="O70" i="1" s="1"/>
  <c r="B8" i="11"/>
  <c r="E7" i="11"/>
  <c r="D7" i="11"/>
  <c r="C7" i="11"/>
  <c r="C30" i="2"/>
  <c r="C32" i="2"/>
  <c r="C11" i="2"/>
  <c r="O87" i="1"/>
  <c r="C3" i="13"/>
  <c r="C4" i="13"/>
  <c r="H7" i="1"/>
  <c r="H8" i="1" s="1"/>
  <c r="C9" i="2"/>
  <c r="C10" i="2"/>
  <c r="C18" i="2" s="1"/>
  <c r="B7" i="1"/>
  <c r="E7" i="1"/>
  <c r="C5" i="13"/>
  <c r="C31" i="2"/>
  <c r="I8" i="4"/>
  <c r="H11" i="4"/>
  <c r="I11" i="4" s="1"/>
  <c r="H12" i="4"/>
  <c r="I12" i="4" s="1"/>
  <c r="H13" i="4"/>
  <c r="I13" i="4" s="1"/>
  <c r="H10" i="4"/>
  <c r="H14" i="4"/>
  <c r="I14" i="4" s="1"/>
  <c r="H15" i="4"/>
  <c r="I15" i="4" s="1"/>
  <c r="H16" i="4"/>
  <c r="I16" i="4" s="1"/>
  <c r="H17" i="4"/>
  <c r="I17" i="4" s="1"/>
  <c r="H18" i="4"/>
  <c r="I18" i="4" s="1"/>
  <c r="G8" i="13"/>
  <c r="H75" i="1"/>
  <c r="H76" i="1" s="1"/>
  <c r="G7" i="13"/>
  <c r="G6" i="13"/>
  <c r="G4" i="13"/>
  <c r="B75" i="1"/>
  <c r="G3" i="13"/>
  <c r="E75" i="1"/>
  <c r="G5" i="13"/>
  <c r="G9" i="13"/>
  <c r="B29" i="1"/>
  <c r="B30" i="1"/>
  <c r="B31" i="1"/>
  <c r="B32" i="1"/>
  <c r="B39" i="1"/>
  <c r="B38" i="1"/>
  <c r="B42" i="1"/>
  <c r="B43" i="1"/>
  <c r="B41" i="1"/>
  <c r="B40" i="1"/>
  <c r="B37" i="1"/>
  <c r="B36" i="1"/>
  <c r="B35" i="1"/>
  <c r="B34" i="1"/>
  <c r="B33" i="1"/>
  <c r="O69" i="1" l="1"/>
  <c r="K26" i="5"/>
  <c r="M26" i="5"/>
  <c r="C13" i="6"/>
  <c r="C19" i="9"/>
  <c r="C20" i="9" s="1"/>
  <c r="C43" i="2"/>
  <c r="C44" i="2" s="1"/>
  <c r="J3" i="1"/>
  <c r="M6" i="6"/>
  <c r="C15" i="6"/>
  <c r="C8" i="11"/>
  <c r="D8" i="11"/>
  <c r="E8" i="11"/>
  <c r="E91" i="1"/>
  <c r="B9" i="11"/>
  <c r="F7" i="11"/>
  <c r="H7" i="11"/>
  <c r="C12" i="2"/>
  <c r="B2" i="2" s="1"/>
  <c r="C13" i="2"/>
  <c r="C14" i="2"/>
  <c r="C19" i="2"/>
  <c r="C20" i="2" s="1"/>
  <c r="B8" i="1"/>
  <c r="K7" i="1"/>
  <c r="N7" i="1"/>
  <c r="N8" i="1"/>
  <c r="E3" i="13"/>
  <c r="E68" i="1"/>
  <c r="G68" i="1" s="1"/>
  <c r="E67" i="1"/>
  <c r="G67" i="1" s="1"/>
  <c r="E66" i="1"/>
  <c r="G66" i="1" s="1"/>
  <c r="O82" i="1"/>
  <c r="O83" i="1" s="1"/>
  <c r="O85" i="1" s="1"/>
  <c r="E8" i="1"/>
  <c r="H8" i="13"/>
  <c r="I8" i="13"/>
  <c r="H7" i="13"/>
  <c r="I7" i="13"/>
  <c r="H6" i="13"/>
  <c r="I6" i="13"/>
  <c r="I4" i="13"/>
  <c r="H4" i="13"/>
  <c r="B76" i="1"/>
  <c r="F8" i="10"/>
  <c r="F11" i="10" s="1"/>
  <c r="K75" i="1"/>
  <c r="K76" i="1"/>
  <c r="H3" i="13"/>
  <c r="I3" i="13" s="1"/>
  <c r="E76" i="1"/>
  <c r="N75" i="1"/>
  <c r="I5" i="13"/>
  <c r="H5" i="13"/>
  <c r="H9" i="13"/>
  <c r="I9" i="13"/>
  <c r="D29" i="1"/>
  <c r="E29" i="1"/>
  <c r="B92" i="1"/>
  <c r="K3" i="13"/>
  <c r="L3" i="13" s="1"/>
  <c r="D30" i="1"/>
  <c r="E30" i="1"/>
  <c r="B93" i="1"/>
  <c r="K4" i="13"/>
  <c r="L4" i="13" s="1"/>
  <c r="D31" i="1"/>
  <c r="E31" i="1"/>
  <c r="B94" i="1"/>
  <c r="K5" i="13"/>
  <c r="L5" i="13" s="1"/>
  <c r="D32" i="1"/>
  <c r="E32" i="1"/>
  <c r="B95" i="1"/>
  <c r="K6" i="13"/>
  <c r="L6" i="13" s="1"/>
  <c r="D39" i="1"/>
  <c r="E39" i="1"/>
  <c r="B102" i="1"/>
  <c r="K13" i="13"/>
  <c r="L13" i="13" s="1"/>
  <c r="D38" i="1"/>
  <c r="E38" i="1"/>
  <c r="F38" i="1" s="1"/>
  <c r="B101" i="1"/>
  <c r="K12" i="13"/>
  <c r="L12" i="13" s="1"/>
  <c r="D42" i="1"/>
  <c r="E42" i="1"/>
  <c r="F42" i="1"/>
  <c r="G42" i="1"/>
  <c r="B105" i="1"/>
  <c r="K16" i="13"/>
  <c r="L16" i="13" s="1"/>
  <c r="D43" i="1"/>
  <c r="E43" i="1"/>
  <c r="F43" i="1"/>
  <c r="G43" i="1"/>
  <c r="B106" i="1"/>
  <c r="K17" i="13"/>
  <c r="L17" i="13" s="1"/>
  <c r="D41" i="1"/>
  <c r="E41" i="1"/>
  <c r="F41" i="1"/>
  <c r="G41" i="1"/>
  <c r="B104" i="1"/>
  <c r="K15" i="13"/>
  <c r="L15" i="13" s="1"/>
  <c r="D40" i="1"/>
  <c r="E40" i="1"/>
  <c r="B103" i="1"/>
  <c r="K14" i="13"/>
  <c r="L14" i="13" s="1"/>
  <c r="D37" i="1"/>
  <c r="E37" i="1"/>
  <c r="B100" i="1"/>
  <c r="K11" i="13"/>
  <c r="L11" i="13" s="1"/>
  <c r="D36" i="1"/>
  <c r="E36" i="1"/>
  <c r="B99" i="1"/>
  <c r="K10" i="13"/>
  <c r="L10" i="13" s="1"/>
  <c r="D35" i="1"/>
  <c r="E35" i="1"/>
  <c r="B98" i="1"/>
  <c r="K9" i="13"/>
  <c r="L9" i="13" s="1"/>
  <c r="D34" i="1"/>
  <c r="E34" i="1"/>
  <c r="B97" i="1"/>
  <c r="K8" i="13"/>
  <c r="L8" i="13" s="1"/>
  <c r="D33" i="1"/>
  <c r="E33" i="1"/>
  <c r="B96" i="1"/>
  <c r="K7" i="13"/>
  <c r="L7" i="13" s="1"/>
  <c r="J11" i="5"/>
  <c r="M7" i="6"/>
  <c r="S7" i="6"/>
  <c r="N14" i="5"/>
  <c r="N15" i="5"/>
  <c r="N9" i="5"/>
  <c r="N19" i="5"/>
  <c r="N16" i="5"/>
  <c r="N11" i="5"/>
  <c r="N12" i="5"/>
  <c r="N18" i="5"/>
  <c r="N13" i="5"/>
  <c r="N10" i="5"/>
  <c r="N17" i="5"/>
  <c r="O8" i="5"/>
  <c r="O15" i="5"/>
  <c r="O9" i="5"/>
  <c r="O11" i="5"/>
  <c r="O14" i="5"/>
  <c r="O17" i="5"/>
  <c r="O12" i="5"/>
  <c r="O10" i="5"/>
  <c r="O19" i="5"/>
  <c r="O16" i="5"/>
  <c r="O18" i="5"/>
  <c r="O13" i="5"/>
  <c r="N8" i="5"/>
  <c r="Q8" i="5" s="1"/>
  <c r="K23" i="5"/>
  <c r="L23" i="5"/>
  <c r="K24" i="5"/>
  <c r="L24" i="5"/>
  <c r="N24" i="5" s="1"/>
  <c r="K25" i="5"/>
  <c r="L25" i="5"/>
  <c r="M25" i="5"/>
  <c r="I10" i="4"/>
  <c r="L9" i="4"/>
  <c r="G38" i="1" l="1"/>
  <c r="F30" i="1"/>
  <c r="G30" i="1"/>
  <c r="F31" i="1"/>
  <c r="G31" i="1"/>
  <c r="F40" i="1"/>
  <c r="G40" i="1"/>
  <c r="F33" i="1"/>
  <c r="G33" i="1"/>
  <c r="C16" i="6"/>
  <c r="F32" i="1"/>
  <c r="G32" i="1"/>
  <c r="F39" i="1"/>
  <c r="G39" i="1"/>
  <c r="F35" i="1"/>
  <c r="G35" i="1"/>
  <c r="F34" i="1"/>
  <c r="G34" i="1"/>
  <c r="L10" i="4"/>
  <c r="L11" i="4"/>
  <c r="L12" i="4"/>
  <c r="F8" i="11"/>
  <c r="G8" i="11" s="1"/>
  <c r="H8" i="11"/>
  <c r="C9" i="11"/>
  <c r="D9" i="11"/>
  <c r="E9" i="11"/>
  <c r="F91" i="1"/>
  <c r="B10" i="11"/>
  <c r="G7" i="11"/>
  <c r="K8" i="1"/>
  <c r="C6" i="13"/>
  <c r="D69" i="1"/>
  <c r="E69" i="1" s="1"/>
  <c r="C17" i="13"/>
  <c r="C18" i="13" s="1"/>
  <c r="E17" i="13"/>
  <c r="B86" i="1"/>
  <c r="F86" i="1"/>
  <c r="H86" i="1"/>
  <c r="C86" i="1"/>
  <c r="B85" i="1"/>
  <c r="C85" i="1"/>
  <c r="F85" i="1"/>
  <c r="H85" i="1"/>
  <c r="C84" i="1"/>
  <c r="F84" i="1"/>
  <c r="H84" i="1"/>
  <c r="B84" i="1"/>
  <c r="C82" i="1"/>
  <c r="F82" i="1"/>
  <c r="B82" i="1"/>
  <c r="H82" i="1"/>
  <c r="F12" i="10"/>
  <c r="F13" i="10"/>
  <c r="P6" i="10"/>
  <c r="Q6" i="10" s="1"/>
  <c r="P7" i="10"/>
  <c r="Q7" i="10" s="1"/>
  <c r="P8" i="10"/>
  <c r="Q8" i="10" s="1"/>
  <c r="P9" i="10"/>
  <c r="Q9" i="10" s="1"/>
  <c r="P10" i="10"/>
  <c r="Q10" i="10" s="1"/>
  <c r="P11" i="10"/>
  <c r="Q11" i="10" s="1"/>
  <c r="P12" i="10"/>
  <c r="Q12" i="10" s="1"/>
  <c r="P13" i="10"/>
  <c r="Q13" i="10" s="1"/>
  <c r="P14" i="10"/>
  <c r="Q14" i="10" s="1"/>
  <c r="P15" i="10"/>
  <c r="Q15" i="10" s="1"/>
  <c r="P16" i="10"/>
  <c r="Q16" i="10" s="1"/>
  <c r="P17" i="10"/>
  <c r="Q17" i="10" s="1"/>
  <c r="P18" i="10"/>
  <c r="Q18" i="10" s="1"/>
  <c r="P19" i="10"/>
  <c r="Q19" i="10" s="1"/>
  <c r="P20" i="10"/>
  <c r="Q20" i="10" s="1"/>
  <c r="P21" i="10"/>
  <c r="Q21" i="10" s="1"/>
  <c r="P22" i="10"/>
  <c r="Q22" i="10" s="1"/>
  <c r="P23" i="10"/>
  <c r="Q23" i="10" s="1"/>
  <c r="P24" i="10"/>
  <c r="Q24" i="10" s="1"/>
  <c r="P25" i="10"/>
  <c r="Q25" i="10" s="1"/>
  <c r="P26" i="10"/>
  <c r="Q26" i="10" s="1"/>
  <c r="P27" i="10"/>
  <c r="Q27" i="10" s="1"/>
  <c r="P28" i="10"/>
  <c r="Q28" i="10" s="1"/>
  <c r="P29" i="10"/>
  <c r="Q29" i="10" s="1"/>
  <c r="P30" i="10"/>
  <c r="Q30" i="10" s="1"/>
  <c r="B81" i="1"/>
  <c r="F81" i="1"/>
  <c r="H81" i="1"/>
  <c r="C81" i="1"/>
  <c r="B83" i="1"/>
  <c r="H83" i="1"/>
  <c r="C83" i="1"/>
  <c r="F83" i="1"/>
  <c r="F87" i="1"/>
  <c r="B87" i="1"/>
  <c r="C87" i="1"/>
  <c r="H87" i="1"/>
  <c r="E92" i="1"/>
  <c r="D92" i="1"/>
  <c r="M7" i="13"/>
  <c r="M6" i="13"/>
  <c r="M5" i="13"/>
  <c r="M4" i="13"/>
  <c r="M3" i="13"/>
  <c r="E93" i="1"/>
  <c r="D93" i="1"/>
  <c r="E94" i="1"/>
  <c r="D94" i="1"/>
  <c r="E95" i="1"/>
  <c r="D95" i="1"/>
  <c r="E102" i="1"/>
  <c r="D102" i="1"/>
  <c r="E101" i="1"/>
  <c r="D101" i="1"/>
  <c r="O105" i="1"/>
  <c r="N105" i="1"/>
  <c r="M105" i="1"/>
  <c r="L105" i="1"/>
  <c r="K105" i="1"/>
  <c r="J105" i="1"/>
  <c r="I105" i="1"/>
  <c r="H105" i="1"/>
  <c r="G105" i="1"/>
  <c r="F105" i="1"/>
  <c r="E105" i="1"/>
  <c r="D105" i="1"/>
  <c r="P105" i="1"/>
  <c r="O106" i="1"/>
  <c r="N106" i="1"/>
  <c r="M106" i="1"/>
  <c r="L106" i="1"/>
  <c r="K106" i="1"/>
  <c r="J106" i="1"/>
  <c r="I106" i="1"/>
  <c r="H106" i="1"/>
  <c r="G106" i="1"/>
  <c r="F106" i="1"/>
  <c r="E106" i="1"/>
  <c r="D106" i="1"/>
  <c r="P106" i="1"/>
  <c r="O104" i="1"/>
  <c r="N104" i="1"/>
  <c r="M104" i="1"/>
  <c r="L104" i="1"/>
  <c r="K104" i="1"/>
  <c r="J104" i="1"/>
  <c r="I104" i="1"/>
  <c r="H104" i="1"/>
  <c r="G104" i="1"/>
  <c r="F104" i="1"/>
  <c r="E104" i="1"/>
  <c r="D104" i="1"/>
  <c r="P104" i="1"/>
  <c r="E103" i="1"/>
  <c r="D103" i="1"/>
  <c r="E100" i="1"/>
  <c r="D100" i="1"/>
  <c r="E99" i="1"/>
  <c r="D99" i="1"/>
  <c r="E98" i="1"/>
  <c r="D98" i="1"/>
  <c r="E97" i="1"/>
  <c r="D97" i="1"/>
  <c r="F96" i="1"/>
  <c r="E96" i="1"/>
  <c r="D96" i="1"/>
  <c r="H8" i="5"/>
  <c r="N23" i="5"/>
  <c r="H9" i="5"/>
  <c r="I9" i="5" s="1"/>
  <c r="K9" i="5" s="1"/>
  <c r="N25" i="5"/>
  <c r="D44" i="1"/>
  <c r="E44" i="1"/>
  <c r="Q14" i="5"/>
  <c r="Q15" i="5"/>
  <c r="Q9" i="5"/>
  <c r="Q19" i="5"/>
  <c r="Q16" i="5"/>
  <c r="Q11" i="5"/>
  <c r="Q12" i="5"/>
  <c r="Q18" i="5"/>
  <c r="Q13" i="5"/>
  <c r="Q10" i="5"/>
  <c r="Q17" i="5"/>
  <c r="F29" i="1"/>
  <c r="G29" i="1"/>
  <c r="F37" i="1"/>
  <c r="G37" i="1"/>
  <c r="F36" i="1"/>
  <c r="G36" i="1"/>
  <c r="O86" i="1" l="1"/>
  <c r="B3" i="1" s="1"/>
  <c r="F9" i="11"/>
  <c r="H9" i="11"/>
  <c r="C10" i="11"/>
  <c r="D10" i="11"/>
  <c r="E10" i="11"/>
  <c r="G91" i="1"/>
  <c r="B11" i="11"/>
  <c r="N7" i="13"/>
  <c r="B27" i="2" s="1"/>
  <c r="C27" i="2"/>
  <c r="N6" i="13"/>
  <c r="B26" i="2" s="1"/>
  <c r="C26" i="2"/>
  <c r="N5" i="13"/>
  <c r="B25" i="2" s="1"/>
  <c r="C25" i="2"/>
  <c r="N4" i="13"/>
  <c r="B24" i="2" s="1"/>
  <c r="C24" i="2"/>
  <c r="N3" i="13"/>
  <c r="B23" i="2" s="1"/>
  <c r="C23" i="2"/>
  <c r="I8" i="5"/>
  <c r="H11" i="5"/>
  <c r="G44" i="1"/>
  <c r="F44" i="1"/>
  <c r="E107" i="1"/>
  <c r="D107" i="1"/>
  <c r="F92" i="1"/>
  <c r="F94" i="1"/>
  <c r="F103" i="1"/>
  <c r="F98" i="1"/>
  <c r="F93" i="1"/>
  <c r="F101" i="1"/>
  <c r="F95" i="1"/>
  <c r="F102" i="1"/>
  <c r="F100" i="1"/>
  <c r="F99" i="1"/>
  <c r="F97" i="1"/>
  <c r="G9" i="11" l="1"/>
  <c r="F10" i="11"/>
  <c r="H10" i="11"/>
  <c r="G99" i="1"/>
  <c r="G100" i="1"/>
  <c r="G98" i="1"/>
  <c r="G101" i="1"/>
  <c r="G95" i="1"/>
  <c r="G102" i="1"/>
  <c r="G93" i="1"/>
  <c r="G97" i="1"/>
  <c r="G94" i="1"/>
  <c r="G92" i="1"/>
  <c r="G96" i="1"/>
  <c r="G103" i="1"/>
  <c r="C11" i="11"/>
  <c r="D11" i="11"/>
  <c r="E11" i="11"/>
  <c r="H91" i="1"/>
  <c r="B12" i="11"/>
  <c r="K8" i="5"/>
  <c r="K11" i="5" s="1"/>
  <c r="I11" i="5"/>
  <c r="F107" i="1"/>
  <c r="F11" i="11" l="1"/>
  <c r="H11" i="11"/>
  <c r="H97" i="1"/>
  <c r="H99" i="1"/>
  <c r="H100" i="1"/>
  <c r="H98" i="1"/>
  <c r="H101" i="1"/>
  <c r="H93" i="1"/>
  <c r="H103" i="1"/>
  <c r="H102" i="1"/>
  <c r="H94" i="1"/>
  <c r="H92" i="1"/>
  <c r="H96" i="1"/>
  <c r="H95" i="1"/>
  <c r="C12" i="11"/>
  <c r="D12" i="11"/>
  <c r="E12" i="11"/>
  <c r="I91" i="1"/>
  <c r="B13" i="11"/>
  <c r="G107" i="1"/>
  <c r="G10" i="11"/>
  <c r="H107" i="1" l="1"/>
  <c r="F12" i="11"/>
  <c r="H12" i="11"/>
  <c r="I99" i="1"/>
  <c r="I100" i="1"/>
  <c r="I101" i="1"/>
  <c r="I93" i="1"/>
  <c r="I97" i="1"/>
  <c r="I98" i="1"/>
  <c r="I103" i="1"/>
  <c r="I94" i="1"/>
  <c r="I92" i="1"/>
  <c r="I96" i="1"/>
  <c r="I102" i="1"/>
  <c r="I95" i="1"/>
  <c r="C13" i="11"/>
  <c r="D13" i="11"/>
  <c r="E13" i="11"/>
  <c r="J91" i="1"/>
  <c r="B14" i="11"/>
  <c r="G11" i="11"/>
  <c r="F13" i="11" l="1"/>
  <c r="G13" i="11" s="1"/>
  <c r="H13" i="11"/>
  <c r="J99" i="1"/>
  <c r="J100" i="1"/>
  <c r="J98" i="1"/>
  <c r="J101" i="1"/>
  <c r="J93" i="1"/>
  <c r="J97" i="1"/>
  <c r="J102" i="1"/>
  <c r="J94" i="1"/>
  <c r="J92" i="1"/>
  <c r="J96" i="1"/>
  <c r="J103" i="1"/>
  <c r="J95" i="1"/>
  <c r="C14" i="11"/>
  <c r="D14" i="11"/>
  <c r="E14" i="11"/>
  <c r="K91" i="1"/>
  <c r="B15" i="11"/>
  <c r="I107" i="1"/>
  <c r="G12" i="11"/>
  <c r="J107" i="1" l="1"/>
  <c r="F14" i="11"/>
  <c r="H14" i="11"/>
  <c r="K97" i="1"/>
  <c r="K99" i="1"/>
  <c r="K100" i="1"/>
  <c r="K102" i="1"/>
  <c r="K101" i="1"/>
  <c r="K98" i="1"/>
  <c r="K103" i="1"/>
  <c r="K94" i="1"/>
  <c r="K93" i="1"/>
  <c r="K92" i="1"/>
  <c r="K96" i="1"/>
  <c r="K95" i="1"/>
  <c r="C15" i="11"/>
  <c r="D15" i="11"/>
  <c r="E15" i="11"/>
  <c r="L91" i="1"/>
  <c r="B16" i="11"/>
  <c r="G14" i="11" l="1"/>
  <c r="F15" i="11"/>
  <c r="G15" i="11" s="1"/>
  <c r="H15" i="11"/>
  <c r="L99" i="1"/>
  <c r="L100" i="1"/>
  <c r="L101" i="1"/>
  <c r="L98" i="1"/>
  <c r="L97" i="1"/>
  <c r="L94" i="1"/>
  <c r="L92" i="1"/>
  <c r="L96" i="1"/>
  <c r="L103" i="1"/>
  <c r="L102" i="1"/>
  <c r="L95" i="1"/>
  <c r="L93" i="1"/>
  <c r="C16" i="11"/>
  <c r="D16" i="11"/>
  <c r="E16" i="11"/>
  <c r="M91" i="1"/>
  <c r="B17" i="11"/>
  <c r="K107" i="1"/>
  <c r="L107" i="1" l="1"/>
  <c r="F16" i="11"/>
  <c r="H16" i="11"/>
  <c r="M97" i="1"/>
  <c r="M99" i="1"/>
  <c r="M101" i="1"/>
  <c r="M102" i="1"/>
  <c r="M103" i="1"/>
  <c r="M98" i="1"/>
  <c r="M100" i="1"/>
  <c r="M94" i="1"/>
  <c r="M93" i="1"/>
  <c r="M92" i="1"/>
  <c r="M96" i="1"/>
  <c r="M95" i="1"/>
  <c r="C17" i="11"/>
  <c r="D17" i="11"/>
  <c r="E17" i="11"/>
  <c r="N91" i="1"/>
  <c r="B18" i="11"/>
  <c r="G16" i="11" l="1"/>
  <c r="F17" i="11"/>
  <c r="G17" i="11" s="1"/>
  <c r="H17" i="11"/>
  <c r="N99" i="1"/>
  <c r="N98" i="1"/>
  <c r="N100" i="1"/>
  <c r="N101" i="1"/>
  <c r="N97" i="1"/>
  <c r="N103" i="1"/>
  <c r="N102" i="1"/>
  <c r="N94" i="1"/>
  <c r="N93" i="1"/>
  <c r="N92" i="1"/>
  <c r="N96" i="1"/>
  <c r="N95" i="1"/>
  <c r="C18" i="11"/>
  <c r="D18" i="11"/>
  <c r="D19" i="11" s="1"/>
  <c r="E18" i="11"/>
  <c r="E19" i="11" s="1"/>
  <c r="O91" i="1"/>
  <c r="M107" i="1"/>
  <c r="N107" i="1" l="1"/>
  <c r="C19" i="11"/>
  <c r="H19" i="11" s="1"/>
  <c r="C17" i="6"/>
  <c r="F18" i="11"/>
  <c r="H18" i="11"/>
  <c r="O99" i="1"/>
  <c r="P99" i="1" s="1"/>
  <c r="O101" i="1"/>
  <c r="P101" i="1" s="1"/>
  <c r="O97" i="1"/>
  <c r="P97" i="1" s="1"/>
  <c r="O98" i="1"/>
  <c r="P98" i="1" s="1"/>
  <c r="O100" i="1"/>
  <c r="P100" i="1" s="1"/>
  <c r="O94" i="1"/>
  <c r="P94" i="1" s="1"/>
  <c r="O92" i="1"/>
  <c r="P92" i="1" s="1"/>
  <c r="O96" i="1"/>
  <c r="P96" i="1" s="1"/>
  <c r="O103" i="1"/>
  <c r="P103" i="1" s="1"/>
  <c r="O102" i="1"/>
  <c r="P102" i="1" s="1"/>
  <c r="O95" i="1"/>
  <c r="P95" i="1" s="1"/>
  <c r="O93" i="1"/>
  <c r="P93" i="1" s="1"/>
  <c r="P107" i="1" l="1"/>
  <c r="G18" i="11"/>
  <c r="F19" i="11"/>
  <c r="O10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Otávio Luiz Oliveira Medeiros</author>
  </authors>
  <commentList>
    <comment ref="F66" authorId="0" shapeId="0" xr:uid="{1E2E7BA2-4ED3-4261-8E3B-3C4E9BFEE94B}">
      <text>
        <r>
          <rPr>
            <b/>
            <sz val="9"/>
            <color indexed="81"/>
            <rFont val="Segoe UI"/>
            <family val="2"/>
          </rPr>
          <t>Referência da regra 50/30/20. Pode ajustar as três porcentagens.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Otávio Luiz Oliveira Medeiros</author>
  </authors>
  <commentList>
    <comment ref="F8" authorId="0" shapeId="0" xr:uid="{B05B38FA-20D6-4F99-839F-3EF597D8DC25}">
      <text>
        <r>
          <rPr>
            <b/>
            <sz val="9"/>
            <color indexed="81"/>
            <rFont val="Segoe UI"/>
            <family val="2"/>
          </rPr>
          <t>Começa com a média que sobrou por mês no ano (receitas - despesas). Pode trocar por outro valor.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Otávio Luiz Oliveira Medeiros</author>
  </authors>
  <commentList>
    <comment ref="C4" authorId="0" shapeId="0" xr:uid="{03666730-68B6-4170-88A8-3F2200067D7E}">
      <text>
        <r>
          <rPr>
            <b/>
            <sz val="9"/>
            <color indexed="81"/>
            <rFont val="Segoe UI"/>
            <family val="2"/>
          </rPr>
          <t>Mude para começar o resumo em outro mês (ex.: 01/01/2027).</t>
        </r>
      </text>
    </comment>
  </commentList>
</comments>
</file>

<file path=xl/sharedStrings.xml><?xml version="1.0" encoding="utf-8"?>
<sst xmlns="http://schemas.openxmlformats.org/spreadsheetml/2006/main" count="1339" uniqueCount="330">
  <si>
    <t xml:space="preserve">  Categorias</t>
  </si>
  <si>
    <t xml:space="preserve">   Ajuste nomes, tipo, grupo e orçamento. Categorias novas entram nas listas e no painel sozinhas.</t>
  </si>
  <si>
    <t>Categorias</t>
  </si>
  <si>
    <t>Categoria</t>
  </si>
  <si>
    <t>Tipo</t>
  </si>
  <si>
    <t>Grupo</t>
  </si>
  <si>
    <t>Orçamento mensal</t>
  </si>
  <si>
    <t>Salário</t>
  </si>
  <si>
    <t>Receita</t>
  </si>
  <si>
    <t>Renda</t>
  </si>
  <si>
    <t>Freelance</t>
  </si>
  <si>
    <t>Outras receitas</t>
  </si>
  <si>
    <t>Moradia</t>
  </si>
  <si>
    <t>Despesa</t>
  </si>
  <si>
    <t>Essencial</t>
  </si>
  <si>
    <t>Contas da casa</t>
  </si>
  <si>
    <t>Mercado</t>
  </si>
  <si>
    <t>Transporte</t>
  </si>
  <si>
    <t>Saúde</t>
  </si>
  <si>
    <t>Educação</t>
  </si>
  <si>
    <t>Restaurantes e delivery</t>
  </si>
  <si>
    <t>Estilo de vida</t>
  </si>
  <si>
    <t>Lazer</t>
  </si>
  <si>
    <t>Assinaturas</t>
  </si>
  <si>
    <t>Compras</t>
  </si>
  <si>
    <t>Outros</t>
  </si>
  <si>
    <t>Investimentos</t>
  </si>
  <si>
    <t>Investimento</t>
  </si>
  <si>
    <t>Ordem</t>
  </si>
  <si>
    <t>Listas usadas nas validações</t>
  </si>
  <si>
    <t>Tipos</t>
  </si>
  <si>
    <t>Grupos</t>
  </si>
  <si>
    <t>Pagamento</t>
  </si>
  <si>
    <t>Pix</t>
  </si>
  <si>
    <t>Cartão de crédito</t>
  </si>
  <si>
    <t>Débito</t>
  </si>
  <si>
    <t>Boleto</t>
  </si>
  <si>
    <t>Dinheiro</t>
  </si>
  <si>
    <t>Tipo: Receita entra no total recebido; Despesa no total gasto; Investimento conta como dinheiro guardado.</t>
  </si>
  <si>
    <t>Grupo: usado na divisão 50/30/20 do painel (Essencial, Estilo de vida, Investimento).</t>
  </si>
  <si>
    <t xml:space="preserve">  Lançamentos</t>
  </si>
  <si>
    <t xml:space="preserve">   Uma linha por entrada ou saída. Valor sempre positivo: o tipo da categoria define se é receita, despesa ou investimento.</t>
  </si>
  <si>
    <t>Lançamentos</t>
  </si>
  <si>
    <t>Data</t>
  </si>
  <si>
    <t>Descrição</t>
  </si>
  <si>
    <t>Valor</t>
  </si>
  <si>
    <t>Supermercado</t>
  </si>
  <si>
    <t>Cashback do cartão</t>
  </si>
  <si>
    <t>iFood</t>
  </si>
  <si>
    <t>Combustível</t>
  </si>
  <si>
    <t>Aporte reserva de emergência</t>
  </si>
  <si>
    <t>Passeio</t>
  </si>
  <si>
    <t>Academia</t>
  </si>
  <si>
    <t>Lanchonete</t>
  </si>
  <si>
    <t>Plano odontológico</t>
  </si>
  <si>
    <t>Aluguel</t>
  </si>
  <si>
    <t>Feira</t>
  </si>
  <si>
    <t>Conta de luz</t>
  </si>
  <si>
    <t>Roupas</t>
  </si>
  <si>
    <t>Netflix</t>
  </si>
  <si>
    <t>Spotify</t>
  </si>
  <si>
    <t>Pizzaria</t>
  </si>
  <si>
    <t>Uber</t>
  </si>
  <si>
    <t>Conta de água</t>
  </si>
  <si>
    <t>Cinema</t>
  </si>
  <si>
    <t>Internet</t>
  </si>
  <si>
    <t>Curso online</t>
  </si>
  <si>
    <t>Plano de celular</t>
  </si>
  <si>
    <t>Atacadão</t>
  </si>
  <si>
    <t>Presente</t>
  </si>
  <si>
    <t>Manutenção de site</t>
  </si>
  <si>
    <t>Livros</t>
  </si>
  <si>
    <t>Restaurante</t>
  </si>
  <si>
    <t>Venda de item usado</t>
  </si>
  <si>
    <t>Farmácia</t>
  </si>
  <si>
    <t>Bar com amigos</t>
  </si>
  <si>
    <t>Padaria</t>
  </si>
  <si>
    <t>Itens para casa</t>
  </si>
  <si>
    <t>Landing page</t>
  </si>
  <si>
    <t>Show</t>
  </si>
  <si>
    <t>Eletrônicos</t>
  </si>
  <si>
    <t>Aporte Tesouro Selic</t>
  </si>
  <si>
    <t>Taxa bancária</t>
  </si>
  <si>
    <t>Mês</t>
  </si>
  <si>
    <t>Como preencher</t>
  </si>
  <si>
    <t>Escreva logo abaixo da última linha: a tabela cresce sozinha.</t>
  </si>
  <si>
    <t>Os lançamentos que vêm aqui são fictícios: apague as linhas e use os seus.</t>
  </si>
  <si>
    <t xml:space="preserve">  Metas</t>
  </si>
  <si>
    <t xml:space="preserve">   Objetivos de economia. Atualize "Já guardado" quando fizer um aporte.</t>
  </si>
  <si>
    <t>Metas</t>
  </si>
  <si>
    <t>Meta</t>
  </si>
  <si>
    <t>Valor alvo</t>
  </si>
  <si>
    <t>Já guardado</t>
  </si>
  <si>
    <t>Prazo</t>
  </si>
  <si>
    <t>Reserva de emergência</t>
  </si>
  <si>
    <t>Viagem de férias</t>
  </si>
  <si>
    <t>Notebook novo</t>
  </si>
  <si>
    <t>Entrada do apartamento</t>
  </si>
  <si>
    <t>Progresso</t>
  </si>
  <si>
    <t>Falta</t>
  </si>
  <si>
    <t>Meses restantes</t>
  </si>
  <si>
    <t>Guardar por mês</t>
  </si>
  <si>
    <t>Metas e valores são exemplos: troque pelos seus. O painel mostra as 5 primeiras metas.</t>
  </si>
  <si>
    <t xml:space="preserve">  Resumo mensal</t>
  </si>
  <si>
    <t xml:space="preserve">   Doze meses a partir do primeiro mês. Os gráficos do painel usam esta tabela.</t>
  </si>
  <si>
    <t>Resumo</t>
  </si>
  <si>
    <t>Primeiro mês</t>
  </si>
  <si>
    <t>Receitas</t>
  </si>
  <si>
    <t>Despesas</t>
  </si>
  <si>
    <t>Investido</t>
  </si>
  <si>
    <t>Saldo do mês</t>
  </si>
  <si>
    <t>Saldo acumulado</t>
  </si>
  <si>
    <t>Taxa de poupança</t>
  </si>
  <si>
    <t>Total</t>
  </si>
  <si>
    <t xml:space="preserve">  Organização financeira</t>
  </si>
  <si>
    <t>MÊS DO PAINEL</t>
  </si>
  <si>
    <r>
      <t>●</t>
    </r>
    <r>
      <rPr>
        <b/>
        <sz val="8"/>
        <color rgb="FF8AA0A8"/>
        <rFont val="Segoe UI"/>
        <family val="2"/>
      </rPr>
      <t xml:space="preserve">  RECEITAS</t>
    </r>
  </si>
  <si>
    <r>
      <t>●</t>
    </r>
    <r>
      <rPr>
        <b/>
        <sz val="8"/>
        <color rgb="FF8AA0A8"/>
        <rFont val="Segoe UI"/>
        <family val="2"/>
      </rPr>
      <t xml:space="preserve">  DESPESAS</t>
    </r>
  </si>
  <si>
    <r>
      <t>●</t>
    </r>
    <r>
      <rPr>
        <b/>
        <sz val="8"/>
        <color rgb="FF8AA0A8"/>
        <rFont val="Segoe UI"/>
        <family val="2"/>
      </rPr>
      <t xml:space="preserve">  INVESTIDO</t>
    </r>
  </si>
  <si>
    <r>
      <t>●</t>
    </r>
    <r>
      <rPr>
        <b/>
        <sz val="8"/>
        <color rgb="FF8AA0A8"/>
        <rFont val="Segoe UI"/>
        <family val="2"/>
      </rPr>
      <t xml:space="preserve">  SALDO DO MÊS</t>
    </r>
  </si>
  <si>
    <r>
      <t>●</t>
    </r>
    <r>
      <rPr>
        <b/>
        <sz val="8"/>
        <color rgb="FF8AA0A8"/>
        <rFont val="Segoe UI"/>
        <family val="2"/>
      </rPr>
      <t xml:space="preserve">  TAXA DE POUPANÇA</t>
    </r>
  </si>
  <si>
    <t>Cálculos auxiliares dos gráficos do painel. Não precisa editar.</t>
  </si>
  <si>
    <t>Sobrou</t>
  </si>
  <si>
    <t>Guardado</t>
  </si>
  <si>
    <t>Resto</t>
  </si>
  <si>
    <t>Metade oculta</t>
  </si>
  <si>
    <t>Orçado x gasto no mês</t>
  </si>
  <si>
    <t>Orçado</t>
  </si>
  <si>
    <t>Gasto</t>
  </si>
  <si>
    <t>Diferença</t>
  </si>
  <si>
    <t>% usado</t>
  </si>
  <si>
    <t>Divisão da renda (regra 50/30/20)</t>
  </si>
  <si>
    <t>% da renda</t>
  </si>
  <si>
    <t>Referência</t>
  </si>
  <si>
    <t>Situação</t>
  </si>
  <si>
    <t>Sobrou no mês</t>
  </si>
  <si>
    <t>Alvo</t>
  </si>
  <si>
    <t>Visão do ano (de janeiro até o mês escolhido)</t>
  </si>
  <si>
    <r>
      <t>●</t>
    </r>
    <r>
      <rPr>
        <b/>
        <sz val="8"/>
        <color rgb="FF8AA0A8"/>
        <rFont val="Segoe UI"/>
        <family val="2"/>
      </rPr>
      <t xml:space="preserve">  RECEBIDO NO ANO</t>
    </r>
  </si>
  <si>
    <r>
      <t>●</t>
    </r>
    <r>
      <rPr>
        <b/>
        <sz val="8"/>
        <color rgb="FF8AA0A8"/>
        <rFont val="Segoe UI"/>
        <family val="2"/>
      </rPr>
      <t xml:space="preserve">  GASTO NO ANO</t>
    </r>
  </si>
  <si>
    <r>
      <t>●</t>
    </r>
    <r>
      <rPr>
        <b/>
        <sz val="8"/>
        <color rgb="FF8AA0A8"/>
        <rFont val="Segoe UI"/>
        <family val="2"/>
      </rPr>
      <t xml:space="preserve">  INVESTIDO NO ANO</t>
    </r>
  </si>
  <si>
    <r>
      <t>●</t>
    </r>
    <r>
      <rPr>
        <b/>
        <sz val="8"/>
        <color rgb="FF8AA0A8"/>
        <rFont val="Segoe UI"/>
        <family val="2"/>
      </rPr>
      <t xml:space="preserve">  SALDO NO ANO</t>
    </r>
  </si>
  <si>
    <r>
      <t>●</t>
    </r>
    <r>
      <rPr>
        <b/>
        <sz val="8"/>
        <color rgb="FF8AA0A8"/>
        <rFont val="Segoe UI"/>
        <family val="2"/>
      </rPr>
      <t xml:space="preserve">  RESERVA DE EMERGÊNCIA</t>
    </r>
  </si>
  <si>
    <t>Ocorrência</t>
  </si>
  <si>
    <t>Linha</t>
  </si>
  <si>
    <t>Maiores gastos do mês</t>
  </si>
  <si>
    <t>Ritmo do mês</t>
  </si>
  <si>
    <t>Dias do mês considerados</t>
  </si>
  <si>
    <t>Gasto médio por dia</t>
  </si>
  <si>
    <t>Projeção de gasto no mês</t>
  </si>
  <si>
    <t>Orçamento de despesas</t>
  </si>
  <si>
    <t>Projeção x orçamento</t>
  </si>
  <si>
    <t>Categorias acima do orçamento</t>
  </si>
  <si>
    <t>Se o ritmo de gastos continuar igual até o fim do mês:</t>
  </si>
  <si>
    <t>Mapa de calor: gasto por categoria em cada mês</t>
  </si>
  <si>
    <t xml:space="preserve">   Cada linha tem a própria escala: a cor mais forte marca o mês em que aquela categoria pesou mais.</t>
  </si>
  <si>
    <t xml:space="preserve">   Células douradas: você preenche. O resto é calculado. Os dados que vêm na planilha são de exemplo: veja a aba "Como usar".</t>
  </si>
  <si>
    <t xml:space="preserve">  Contas fixas</t>
  </si>
  <si>
    <t xml:space="preserve">   Contas que se repetem todo mês. A situação confere se já existe um lançamento com a mesma descrição no mês escolhido.</t>
  </si>
  <si>
    <t>Contas</t>
  </si>
  <si>
    <t>Conta</t>
  </si>
  <si>
    <t>Valor previsto</t>
  </si>
  <si>
    <t>Dia do vencimento</t>
  </si>
  <si>
    <t>Doação mensal</t>
  </si>
  <si>
    <t>Seguro residencial</t>
  </si>
  <si>
    <t>Vence em</t>
  </si>
  <si>
    <t>Pago no mês</t>
  </si>
  <si>
    <t>Resumo do mês</t>
  </si>
  <si>
    <t>Total previsto</t>
  </si>
  <si>
    <t>Já pago</t>
  </si>
  <si>
    <t>Falta pagar</t>
  </si>
  <si>
    <t>Contas pagas</t>
  </si>
  <si>
    <t>Contas vencidas</t>
  </si>
  <si>
    <t>Dica: use na aba Lançamentos a mesma descrição</t>
  </si>
  <si>
    <t>da conta (ex.: "Conta de luz") para ela</t>
  </si>
  <si>
    <t>aparecer como paga.</t>
  </si>
  <si>
    <t xml:space="preserve">  Patrimônio</t>
  </si>
  <si>
    <t xml:space="preserve">   Onde está o seu dinheiro hoje. Atualize o "Valor atual" de vez em quando, por exemplo no fim de cada mês.</t>
  </si>
  <si>
    <t>Patrimônio</t>
  </si>
  <si>
    <t>Item</t>
  </si>
  <si>
    <t>Instituição</t>
  </si>
  <si>
    <t>Valor aplicado</t>
  </si>
  <si>
    <t>Valor atual</t>
  </si>
  <si>
    <t>Conta corrente</t>
  </si>
  <si>
    <t>Nubank</t>
  </si>
  <si>
    <t>Reserva de emergência (Tesouro Selic)</t>
  </si>
  <si>
    <t>Tesouro Direto</t>
  </si>
  <si>
    <t>CDB 110% do CDI</t>
  </si>
  <si>
    <t>Renda fixa</t>
  </si>
  <si>
    <t>Banco Inter</t>
  </si>
  <si>
    <t>ETF de ações</t>
  </si>
  <si>
    <t>Renda variável</t>
  </si>
  <si>
    <t>XP</t>
  </si>
  <si>
    <t>Caixinha da viagem</t>
  </si>
  <si>
    <t>Caixinha do notebook</t>
  </si>
  <si>
    <t>Rendimento</t>
  </si>
  <si>
    <t>Rendimento %</t>
  </si>
  <si>
    <t>% do total</t>
  </si>
  <si>
    <t>Tipos de patrimônio</t>
  </si>
  <si>
    <t>Bens</t>
  </si>
  <si>
    <t>Patrimônio total</t>
  </si>
  <si>
    <t>Total aplicado</t>
  </si>
  <si>
    <t>Por tipo</t>
  </si>
  <si>
    <t>%</t>
  </si>
  <si>
    <t xml:space="preserve"> Minhas finanças</t>
  </si>
  <si>
    <t>Despesas vs mês anterior</t>
  </si>
  <si>
    <t>Orçamento do mês</t>
  </si>
  <si>
    <t>% do orçamento usado</t>
  </si>
  <si>
    <t>Projeção até o fim do mês</t>
  </si>
  <si>
    <t>Gasto (celular)</t>
  </si>
  <si>
    <t>Top</t>
  </si>
  <si>
    <t>Nome</t>
  </si>
  <si>
    <t>Onde mais gastou</t>
  </si>
  <si>
    <t>Contas fixas</t>
  </si>
  <si>
    <t>Para lançar um gasto: toque em "Lançar gasto"</t>
  </si>
  <si>
    <t>e escreva na primeira linha vazia da tabela.</t>
  </si>
  <si>
    <t xml:space="preserve">  Cartão de crédito</t>
  </si>
  <si>
    <t xml:space="preserve">   Compras parceladas e próximas faturas. A cada mês, lance a parcela em Lançamentos com a mesma descrição da compra para ela aparecer como lançada.</t>
  </si>
  <si>
    <t>Cartão</t>
  </si>
  <si>
    <t>Fecha dia</t>
  </si>
  <si>
    <t>Vence dia</t>
  </si>
  <si>
    <t>Limite</t>
  </si>
  <si>
    <t>Inter</t>
  </si>
  <si>
    <t>Compras parceladas</t>
  </si>
  <si>
    <t>Data da compra</t>
  </si>
  <si>
    <t>Valor total</t>
  </si>
  <si>
    <t>Parcelas</t>
  </si>
  <si>
    <t>Celular novo</t>
  </si>
  <si>
    <t>Geladeira</t>
  </si>
  <si>
    <t>Curso de inglês</t>
  </si>
  <si>
    <t>Tênis de corrida</t>
  </si>
  <si>
    <t>Valor da parcela</t>
  </si>
  <si>
    <t>1ª fatura</t>
  </si>
  <si>
    <t>Última fatura</t>
  </si>
  <si>
    <t>Parcela do mês</t>
  </si>
  <si>
    <t>Valor no mês</t>
  </si>
  <si>
    <t>A pagar depois</t>
  </si>
  <si>
    <t>Parcelas no mês</t>
  </si>
  <si>
    <t>Ainda a pagar</t>
  </si>
  <si>
    <t>Limite livre</t>
  </si>
  <si>
    <t>Ainda a pagar = parcelas do mês + parcelas dos meses seguintes. Limite livre não desconta as compras à vista do mês.</t>
  </si>
  <si>
    <t>Fatura</t>
  </si>
  <si>
    <t xml:space="preserve">  Dívidas e empréstimos</t>
  </si>
  <si>
    <t xml:space="preserve">   Financiamentos, empréstimos e parcelamentos com juros. Atualize "Parcelas pagas" a cada mês.</t>
  </si>
  <si>
    <t>Dívidas</t>
  </si>
  <si>
    <t>Dívida</t>
  </si>
  <si>
    <t>Credor</t>
  </si>
  <si>
    <t>Valor contratado</t>
  </si>
  <si>
    <t>Juros ao mês</t>
  </si>
  <si>
    <t>Nº de parcelas</t>
  </si>
  <si>
    <t>1ª parcela</t>
  </si>
  <si>
    <t>Parcelas pagas</t>
  </si>
  <si>
    <t>Financiamento do carro</t>
  </si>
  <si>
    <t>Banco do Brasil</t>
  </si>
  <si>
    <t>Empréstimo pessoal</t>
  </si>
  <si>
    <t>Restantes</t>
  </si>
  <si>
    <t>Saldo devedor</t>
  </si>
  <si>
    <t>Total a pagar</t>
  </si>
  <si>
    <t>Juros a pagar</t>
  </si>
  <si>
    <t>Quitação</t>
  </si>
  <si>
    <t>Resumo das dívidas</t>
  </si>
  <si>
    <t>Saldo devedor (quitar hoje)</t>
  </si>
  <si>
    <t>Parcelas por mês</t>
  </si>
  <si>
    <t>Total que ainda vai pagar</t>
  </si>
  <si>
    <t>Juros que ainda vai pagar</t>
  </si>
  <si>
    <t>% da renda nas parcelas</t>
  </si>
  <si>
    <t>Última quitação</t>
  </si>
  <si>
    <t>Saldo devedor = quanto custaria quitar tudo hoje (parcelas restantes trazidas a valor presente pelos juros).</t>
  </si>
  <si>
    <t>Quitar antes economiza os "juros que ainda vai pagar". Acima de 30% da renda em parcelas é sinal de alerta.</t>
  </si>
  <si>
    <t xml:space="preserve">  Simulador de metas</t>
  </si>
  <si>
    <t xml:space="preserve">   Faça as contas antes de decidir. Mude as células douradas: o resto se recalcula.</t>
  </si>
  <si>
    <t>Simulador</t>
  </si>
  <si>
    <t>Quanto preciso guardar por mês?</t>
  </si>
  <si>
    <t>Quero juntar</t>
  </si>
  <si>
    <t>Já tenho</t>
  </si>
  <si>
    <t>Em quantos meses</t>
  </si>
  <si>
    <t>Rendimento ao ano</t>
  </si>
  <si>
    <t>Rendimento ao mês</t>
  </si>
  <si>
    <t>Total que você vai depositar</t>
  </si>
  <si>
    <t>Ganho com o rendimento</t>
  </si>
  <si>
    <t>Em quanto tempo eu chego lá?</t>
  </si>
  <si>
    <t>Guardo por mês</t>
  </si>
  <si>
    <t>Meses até chegar</t>
  </si>
  <si>
    <t>Em anos</t>
  </si>
  <si>
    <t>Data prevista</t>
  </si>
  <si>
    <t>Saldo</t>
  </si>
  <si>
    <t>Objetivo</t>
  </si>
  <si>
    <t>Quanto guardar por mês em cada meta</t>
  </si>
  <si>
    <t>Meses</t>
  </si>
  <si>
    <t>Sem rendimento</t>
  </si>
  <si>
    <t>Com rendimento</t>
  </si>
  <si>
    <t>"Com rendimento" usa a taxa do primeiro simulador (célula C9). A diferença é o quanto os juros trabalham por você.</t>
  </si>
  <si>
    <t>Dívidas (saldo devedor)</t>
  </si>
  <si>
    <t>Patrimônio líquido</t>
  </si>
  <si>
    <t>Parcelas na fatura do mês</t>
  </si>
  <si>
    <t>Parcelas dos próximos meses</t>
  </si>
  <si>
    <t>PATRIMÔNIO LÍQUIDO</t>
  </si>
  <si>
    <t>Contas fixas ainda não pagas</t>
  </si>
  <si>
    <t xml:space="preserve">   Em coral: passou do orçamento. Em Investimentos, aplicar mais que o planejado aparece em verde.</t>
  </si>
  <si>
    <t>Orçamento do mês (despesas)</t>
  </si>
  <si>
    <t>Investimento planejado no mês</t>
  </si>
  <si>
    <t>Total planejado por mês</t>
  </si>
  <si>
    <t xml:space="preserve">  Como usar</t>
  </si>
  <si>
    <t>Ajuda</t>
  </si>
  <si>
    <t>Passo a passo</t>
  </si>
  <si>
    <t>1. Lançamentos: anote cada entrada e saída (data, descrição, categoria, valor e forma de pagamento). Escreva logo abaixo da última linha que a tabela cresce sozinha.</t>
  </si>
  <si>
    <t xml:space="preserve">   O valor é sempre positivo. Tipo, Grupo e Mês são preenchidos sozinhos (colunas cinza).</t>
  </si>
  <si>
    <t>2. Categorias: ajuste os nomes, o tipo (Receita, Despesa ou Investimento), o grupo e o orçamento mensal. Categorias novas aparecem nas listas e no painel.</t>
  </si>
  <si>
    <t>3. Contas fixas: cadastre as contas do mês com o dia do vencimento. Quando lançar o pagamento com a mesma descrição, ela aparece como paga.</t>
  </si>
  <si>
    <t>4. Metas: cadastre seus objetivos e atualize "Já guardado". A planilha calcula quanto falta e quanto guardar por mês até o prazo.</t>
  </si>
  <si>
    <t>5. Patrimônio: liste contas, reserva e investimentos com o valor aplicado e o valor atual. Com as dívidas, a aba mostra o patrimônio líquido.</t>
  </si>
  <si>
    <t xml:space="preserve">   Cartão: cadastre seus cartões e as compras parceladas. A cada mês, lance a parcela em Lançamentos com a mesma descrição da compra.</t>
  </si>
  <si>
    <t xml:space="preserve">   Dívidas: financiamentos e empréstimos. Atualize "Parcelas pagas" todo mês; o saldo devedor e os juros restantes se recalculam.</t>
  </si>
  <si>
    <t xml:space="preserve">   Simulador: quanto guardar por mês para chegar a um valor, em quanto tempo você chega lá e quanto guardar para cada meta.</t>
  </si>
  <si>
    <t>6. Painel: escolha o mês no topo. Indicadores, orçamento, divisão 50/30/20, metas, gráficos e o mapa de calor se atualizam.</t>
  </si>
  <si>
    <t>7. Celular: versão em uma coluna para a tela do celular, com seletor de mês próprio. Abra pelo app Excel com a planilha no OneDrive.</t>
  </si>
  <si>
    <t>8. Resumo: mostra 12 meses a partir do "Primeiro mês". Mude essa data para acompanhar outro ano.</t>
  </si>
  <si>
    <t xml:space="preserve">   O menu no topo de cada aba leva direto para as outras.</t>
  </si>
  <si>
    <t>Legenda</t>
  </si>
  <si>
    <t>Dourado = você preenche.   Cinza = calculado (não precisa mexer).   Vermelho = passou do orçamento ou saldo negativo.</t>
  </si>
  <si>
    <t>Dados de exemplo</t>
  </si>
  <si>
    <t>Os lançamentos (jan a out de 2026) e as metas são fictícios, só para o painel não começar vazio.</t>
  </si>
  <si>
    <t>Para começar do zero: na aba Lançamentos, selecione as linhas da tabela, clique com o botão direito &gt; Excluir &gt; Linhas da tabela. Faça o mesmo em Metas.</t>
  </si>
  <si>
    <t>Power BI</t>
  </si>
  <si>
    <t>As abas guardam os dados em tabelas nomeadas (tbLancamentos, tbCategorias, tbMetas, tbContas, tbPatrimonio), que o Power BI importa direto.</t>
  </si>
  <si>
    <t>O relatório pronto está na pasta PowerBI, e o arquivo "Guia Power BI.md" explica como abrir e atualizar.</t>
  </si>
  <si>
    <t>Colunas sem cor: você preenche. Colunas cinza-azuladas: calculadas.</t>
  </si>
  <si>
    <t>Créditos</t>
  </si>
  <si>
    <t>Planilha, painel, relatório do Power BI e guia de uso criados por Otávio, desenvolvedor web.</t>
  </si>
  <si>
    <t>Pode usar à vontade para organizar as suas finanças. Se compartilhar, mantenha os créditos.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</si>
</sst>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8" formatCode="&quot;R$&quot;\ #,##0.00;[Red]\-&quot;R$&quot;\ #,##0.00"/>
    <numFmt numFmtId="164" formatCode="&quot;R$ &quot;#,##0.00;\-&quot;R$ &quot;#,##0.00;&quot;-&quot;"/>
    <numFmt numFmtId="165" formatCode="mmm/yyyy"/>
    <numFmt numFmtId="166" formatCode="mmmm/yyyy"/>
    <numFmt numFmtId="167" formatCode="0.0%"/>
    <numFmt numFmtId="168" formatCode="mmmm\ &quot;de&quot;\ yyyy"/>
    <numFmt numFmtId="169" formatCode="&quot;R$ &quot;#,##0;\-&quot;R$ &quot;#,##0;&quot;-&quot;"/>
    <numFmt numFmtId="170" formatCode="\▲\ 0%&quot; vs mês anterior&quot;;\▼\ 0%&quot; vs mês anterior&quot;;&quot;= mês anterior&quot;"/>
    <numFmt numFmtId="171" formatCode="\▲\ &quot;R$ &quot;#,##0&quot; vs mês anterior&quot;;\▼\ &quot;R$ &quot;#,##0&quot; vs mês anterior&quot;;&quot;= mês anterior&quot;"/>
    <numFmt numFmtId="172" formatCode="&quot;média de R$ &quot;#,##0&quot; por mês&quot;"/>
    <numFmt numFmtId="173" formatCode="0%&quot; da renda guardada no ano&quot;"/>
    <numFmt numFmtId="174" formatCode="0.0&quot; meses&quot;"/>
    <numFmt numFmtId="175" formatCode="dd/mm"/>
    <numFmt numFmtId="176" formatCode="0&quot; dias&quot;"/>
    <numFmt numFmtId="177" formatCode="0;;&quot;nenhuma ✓&quot;"/>
    <numFmt numFmtId="178" formatCode="mmm"/>
    <numFmt numFmtId="179" formatCode="\▲\ 0%;\▼\ 0%;&quot;=&quot;"/>
    <numFmt numFmtId="180" formatCode="0&quot; meses&quot;"/>
    <numFmt numFmtId="181" formatCode="0.0&quot; anos&quot;"/>
    <numFmt numFmtId="182" formatCode="0.0"/>
  </numFmts>
  <fonts count="51" x14ac:knownFonts="1">
    <font>
      <sz val="11"/>
      <color theme="1"/>
      <name val="Aptos Narrow"/>
      <family val="2"/>
      <scheme val="minor"/>
    </font>
    <font>
      <sz val="10"/>
      <color theme="1"/>
      <name val="Segoe UI"/>
      <family val="2"/>
    </font>
    <font>
      <sz val="10"/>
      <color rgb="FFD5E0E3"/>
      <name val="Segoe UI"/>
      <family val="2"/>
    </font>
    <font>
      <b/>
      <sz val="16"/>
      <color rgb="FFFFFFFF"/>
      <name val="Segoe UI"/>
      <family val="2"/>
    </font>
    <font>
      <sz val="9"/>
      <color rgb="FF9ADBD2"/>
      <name val="Segoe UI"/>
      <family val="2"/>
    </font>
    <font>
      <u/>
      <sz val="11"/>
      <color theme="10"/>
      <name val="Aptos Narrow"/>
      <family val="2"/>
      <scheme val="minor"/>
    </font>
    <font>
      <b/>
      <sz val="9"/>
      <color rgb="FFFFFFFF"/>
      <name val="Segoe UI"/>
      <family val="2"/>
    </font>
    <font>
      <b/>
      <sz val="10"/>
      <color rgb="FFD5E0E3"/>
      <name val="Segoe UI"/>
      <family val="2"/>
    </font>
    <font>
      <b/>
      <sz val="10"/>
      <color rgb="FFF1F6F7"/>
      <name val="Segoe UI"/>
      <family val="2"/>
    </font>
    <font>
      <sz val="10"/>
      <color rgb="FF8AA0A8"/>
      <name val="Segoe UI"/>
      <family val="2"/>
    </font>
    <font>
      <b/>
      <sz val="10"/>
      <color rgb="FF22B39A"/>
      <name val="Segoe UI"/>
      <family val="2"/>
    </font>
    <font>
      <b/>
      <sz val="9"/>
      <color indexed="81"/>
      <name val="Segoe UI"/>
      <family val="2"/>
    </font>
    <font>
      <b/>
      <sz val="20"/>
      <color rgb="FFFFFFFF"/>
      <name val="Segoe UI"/>
      <family val="2"/>
    </font>
    <font>
      <sz val="10"/>
      <color rgb="FF9ADBD2"/>
      <name val="Segoe UI"/>
      <family val="2"/>
    </font>
    <font>
      <sz val="8"/>
      <color rgb="FFD5E0E3"/>
      <name val="Segoe UI"/>
      <family val="2"/>
    </font>
    <font>
      <b/>
      <sz val="8"/>
      <color rgb="FFD5E0E3"/>
      <name val="Segoe UI"/>
      <family val="2"/>
    </font>
    <font>
      <b/>
      <sz val="8"/>
      <color rgb="FF9ADBD2"/>
      <name val="Segoe UI"/>
      <family val="2"/>
    </font>
    <font>
      <b/>
      <sz val="12"/>
      <color rgb="FFF1F6F7"/>
      <name val="Segoe UI"/>
      <family val="2"/>
    </font>
    <font>
      <b/>
      <sz val="8"/>
      <color rgb="FF8AA0A8"/>
      <name val="Segoe UI"/>
      <family val="2"/>
    </font>
    <font>
      <b/>
      <sz val="8"/>
      <color rgb="FF22B39A"/>
      <name val="Segoe UI"/>
      <family val="2"/>
    </font>
    <font>
      <b/>
      <sz val="20"/>
      <color rgb="FFF1F6F7"/>
      <name val="Segoe UI"/>
      <family val="2"/>
    </font>
    <font>
      <sz val="8"/>
      <color rgb="FF8AA0A8"/>
      <name val="Segoe UI"/>
      <family val="2"/>
    </font>
    <font>
      <b/>
      <sz val="8"/>
      <color rgb="FFF0705A"/>
      <name val="Segoe UI"/>
      <family val="2"/>
    </font>
    <font>
      <b/>
      <sz val="8"/>
      <color rgb="FF5B9BD5"/>
      <name val="Segoe UI"/>
      <family val="2"/>
    </font>
    <font>
      <b/>
      <sz val="8"/>
      <color rgb="FFF2B544"/>
      <name val="Segoe UI"/>
      <family val="2"/>
    </font>
    <font>
      <b/>
      <sz val="9"/>
      <color rgb="FF8AA0A8"/>
      <name val="Segoe UI"/>
      <family val="2"/>
    </font>
    <font>
      <b/>
      <sz val="16"/>
      <color rgb="FFF1F6F7"/>
      <name val="Segoe UI"/>
      <family val="2"/>
    </font>
    <font>
      <sz val="9"/>
      <color rgb="FF8AA0A8"/>
      <name val="Segoe UI"/>
      <family val="2"/>
    </font>
    <font>
      <i/>
      <sz val="9"/>
      <color rgb="FF8AA0A8"/>
      <name val="Segoe UI"/>
      <family val="2"/>
    </font>
    <font>
      <b/>
      <sz val="13"/>
      <color rgb="FFD5E0E3"/>
      <name val="Segoe UI"/>
      <family val="2"/>
    </font>
    <font>
      <b/>
      <sz val="13"/>
      <color rgb="FF22B39A"/>
      <name val="Segoe UI"/>
      <family val="2"/>
    </font>
    <font>
      <sz val="11"/>
      <color rgb="FFD5E0E3"/>
      <name val="Segoe UI"/>
      <family val="2"/>
    </font>
    <font>
      <b/>
      <sz val="11"/>
      <color rgb="FFD5E0E3"/>
      <name val="Segoe UI"/>
      <family val="2"/>
    </font>
    <font>
      <sz val="11"/>
      <color rgb="FF8AA0A8"/>
      <name val="Segoe UI"/>
      <family val="2"/>
    </font>
    <font>
      <b/>
      <sz val="11"/>
      <color rgb="FF22B39A"/>
      <name val="Segoe UI"/>
      <family val="2"/>
    </font>
    <font>
      <b/>
      <sz val="11"/>
      <color rgb="FFF0705A"/>
      <name val="Segoe UI"/>
      <family val="2"/>
    </font>
    <font>
      <b/>
      <sz val="11"/>
      <color rgb="FF5B9BD5"/>
      <name val="Segoe UI"/>
      <family val="2"/>
    </font>
    <font>
      <b/>
      <sz val="11"/>
      <color rgb="FFF1F6F7"/>
      <name val="Segoe UI"/>
      <family val="2"/>
    </font>
    <font>
      <b/>
      <sz val="13"/>
      <color rgb="FFF1F6F7"/>
      <name val="Segoe UI"/>
      <family val="2"/>
    </font>
    <font>
      <b/>
      <sz val="13"/>
      <color rgb="FFF2B544"/>
      <name val="Segoe UI"/>
      <family val="2"/>
    </font>
    <font>
      <b/>
      <sz val="13"/>
      <color rgb="FFF0705A"/>
      <name val="Segoe UI"/>
      <family val="2"/>
    </font>
    <font>
      <sz val="8"/>
      <color rgb="FF7E9299"/>
      <name val="Segoe UI"/>
      <family val="2"/>
    </font>
    <font>
      <b/>
      <sz val="14"/>
      <color rgb="FF22B39A"/>
      <name val="Segoe UI"/>
      <family val="2"/>
    </font>
    <font>
      <b/>
      <sz val="10"/>
      <color rgb="FFF0705A"/>
      <name val="Segoe UI"/>
      <family val="2"/>
    </font>
    <font>
      <b/>
      <sz val="14"/>
      <color rgb="FFFFFFFF"/>
      <name val="Segoe UI"/>
      <family val="2"/>
    </font>
    <font>
      <b/>
      <sz val="10"/>
      <color rgb="FF9ADBD2"/>
      <name val="Segoe UI"/>
      <family val="2"/>
    </font>
    <font>
      <sz val="8"/>
      <color rgb="FF9ADBD2"/>
      <name val="Segoe UI"/>
      <family val="2"/>
    </font>
    <font>
      <b/>
      <sz val="12"/>
      <color rgb="FF22B39A"/>
      <name val="Segoe UI"/>
      <family val="2"/>
    </font>
    <font>
      <b/>
      <sz val="8"/>
      <color rgb="FFD6D393"/>
      <name val="Segoe UI"/>
      <family val="2"/>
    </font>
    <font>
      <b/>
      <sz val="12"/>
      <color rgb="FFD6D393"/>
      <name val="Segoe UI"/>
      <family val="2"/>
    </font>
    <font>
      <b/>
      <sz val="10"/>
      <color rgb="FFD6D393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rgb="FF0B171C"/>
        <bgColor indexed="64"/>
      </patternFill>
    </fill>
    <fill>
      <patternFill patternType="solid">
        <fgColor rgb="FF16303A"/>
        <bgColor indexed="64"/>
      </patternFill>
    </fill>
    <fill>
      <patternFill patternType="solid">
        <fgColor rgb="FF1B3A45"/>
        <bgColor indexed="64"/>
      </patternFill>
    </fill>
    <fill>
      <patternFill patternType="solid">
        <fgColor rgb="FF1D3A44"/>
        <bgColor indexed="64"/>
      </patternFill>
    </fill>
    <fill>
      <patternFill patternType="solid">
        <fgColor rgb="FF332D17"/>
        <bgColor indexed="64"/>
      </patternFill>
    </fill>
    <fill>
      <patternFill patternType="solid">
        <fgColor rgb="FF10242A"/>
        <bgColor indexed="64"/>
      </patternFill>
    </fill>
    <fill>
      <patternFill patternType="solid">
        <fgColor rgb="FF12232A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medium">
        <color rgb="FF6FD6C8"/>
      </bottom>
      <diagonal/>
    </border>
    <border>
      <left/>
      <right/>
      <top style="medium">
        <color rgb="FF6FD6C8"/>
      </top>
      <bottom style="thin">
        <color rgb="FF23404A"/>
      </bottom>
      <diagonal/>
    </border>
    <border>
      <left/>
      <right/>
      <top style="thin">
        <color rgb="FF23404A"/>
      </top>
      <bottom style="thin">
        <color rgb="FF23404A"/>
      </bottom>
      <diagonal/>
    </border>
    <border>
      <left/>
      <right/>
      <top style="thin">
        <color rgb="FF23404A"/>
      </top>
      <bottom style="medium">
        <color indexed="64"/>
      </bottom>
      <diagonal/>
    </border>
    <border>
      <left/>
      <right/>
      <top style="medium">
        <color rgb="FF6FD6C8"/>
      </top>
      <bottom/>
      <diagonal/>
    </border>
    <border>
      <left style="medium">
        <color rgb="FF6FD6C8"/>
      </left>
      <right/>
      <top style="medium">
        <color rgb="FF6FD6C8"/>
      </top>
      <bottom style="medium">
        <color rgb="FF6FD6C8"/>
      </bottom>
      <diagonal/>
    </border>
    <border>
      <left/>
      <right/>
      <top style="medium">
        <color rgb="FF6FD6C8"/>
      </top>
      <bottom style="medium">
        <color rgb="FF6FD6C8"/>
      </bottom>
      <diagonal/>
    </border>
    <border>
      <left/>
      <right style="medium">
        <color rgb="FF6FD6C8"/>
      </right>
      <top style="medium">
        <color rgb="FF6FD6C8"/>
      </top>
      <bottom style="medium">
        <color rgb="FF6FD6C8"/>
      </bottom>
      <diagonal/>
    </border>
    <border>
      <left style="medium">
        <color rgb="FF0B171C"/>
      </left>
      <right/>
      <top/>
      <bottom/>
      <diagonal/>
    </border>
    <border>
      <left style="medium">
        <color rgb="FF0B171C"/>
      </left>
      <right/>
      <top/>
      <bottom style="medium">
        <color rgb="FF0B171C"/>
      </bottom>
      <diagonal/>
    </border>
    <border>
      <left/>
      <right/>
      <top/>
      <bottom style="medium">
        <color rgb="FF0B171C"/>
      </bottom>
      <diagonal/>
    </border>
    <border>
      <left/>
      <right style="medium">
        <color rgb="FF0B171C"/>
      </right>
      <top/>
      <bottom/>
      <diagonal/>
    </border>
    <border>
      <left/>
      <right style="medium">
        <color rgb="FF0B171C"/>
      </right>
      <top/>
      <bottom style="medium">
        <color rgb="FF0B171C"/>
      </bottom>
      <diagonal/>
    </border>
    <border>
      <left style="medium">
        <color rgb="FF0B171C"/>
      </left>
      <right/>
      <top style="medium">
        <color rgb="FF22B39A"/>
      </top>
      <bottom/>
      <diagonal/>
    </border>
    <border>
      <left/>
      <right/>
      <top style="medium">
        <color rgb="FF22B39A"/>
      </top>
      <bottom/>
      <diagonal/>
    </border>
    <border>
      <left style="medium">
        <color rgb="FF0B171C"/>
      </left>
      <right/>
      <top style="medium">
        <color rgb="FFF0705A"/>
      </top>
      <bottom/>
      <diagonal/>
    </border>
    <border>
      <left/>
      <right/>
      <top style="medium">
        <color rgb="FFF0705A"/>
      </top>
      <bottom/>
      <diagonal/>
    </border>
    <border>
      <left style="medium">
        <color rgb="FF0B171C"/>
      </left>
      <right/>
      <top style="medium">
        <color rgb="FF5B9BD5"/>
      </top>
      <bottom/>
      <diagonal/>
    </border>
    <border>
      <left/>
      <right/>
      <top style="medium">
        <color rgb="FF5B9BD5"/>
      </top>
      <bottom/>
      <diagonal/>
    </border>
    <border>
      <left style="medium">
        <color rgb="FF0B171C"/>
      </left>
      <right/>
      <top style="medium">
        <color rgb="FF9ADBD2"/>
      </top>
      <bottom/>
      <diagonal/>
    </border>
    <border>
      <left/>
      <right/>
      <top style="medium">
        <color rgb="FF9ADBD2"/>
      </top>
      <bottom/>
      <diagonal/>
    </border>
    <border>
      <left style="medium">
        <color rgb="FF0B171C"/>
      </left>
      <right/>
      <top style="medium">
        <color rgb="FFF2B544"/>
      </top>
      <bottom/>
      <diagonal/>
    </border>
    <border>
      <left/>
      <right/>
      <top style="medium">
        <color rgb="FFF2B544"/>
      </top>
      <bottom/>
      <diagonal/>
    </border>
    <border>
      <left/>
      <right style="medium">
        <color rgb="FF0B171C"/>
      </right>
      <top style="medium">
        <color rgb="FFF2B544"/>
      </top>
      <bottom/>
      <diagonal/>
    </border>
    <border>
      <left/>
      <right/>
      <top/>
      <bottom style="thin">
        <color rgb="FF23404A"/>
      </bottom>
      <diagonal/>
    </border>
    <border>
      <left/>
      <right/>
      <top style="thin">
        <color rgb="FF23404A"/>
      </top>
      <bottom/>
      <diagonal/>
    </border>
    <border>
      <left/>
      <right/>
      <top style="medium">
        <color rgb="FF8AA0A8"/>
      </top>
      <bottom/>
      <diagonal/>
    </border>
    <border>
      <left style="thin">
        <color rgb="FFF2B544"/>
      </left>
      <right style="thin">
        <color rgb="FFF2B544"/>
      </right>
      <top style="thin">
        <color rgb="FFF2B544"/>
      </top>
      <bottom style="thin">
        <color rgb="FFF2B544"/>
      </bottom>
      <diagonal/>
    </border>
    <border>
      <left/>
      <right/>
      <top style="thin">
        <color rgb="FF23404A"/>
      </top>
      <bottom style="medium">
        <color rgb="FF8AA0A8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54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3" borderId="0" xfId="0" applyFont="1" applyFill="1"/>
    <xf numFmtId="0" fontId="3" fillId="3" borderId="0" xfId="0" applyFont="1" applyFill="1" applyAlignment="1">
      <alignment vertical="center"/>
    </xf>
    <xf numFmtId="0" fontId="4" fillId="3" borderId="0" xfId="0" applyFont="1" applyFill="1" applyAlignment="1">
      <alignment vertical="top"/>
    </xf>
    <xf numFmtId="0" fontId="2" fillId="4" borderId="0" xfId="0" applyFont="1" applyFill="1"/>
    <xf numFmtId="0" fontId="4" fillId="4" borderId="0" xfId="1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8" fillId="5" borderId="1" xfId="0" applyFont="1" applyFill="1" applyBorder="1"/>
    <xf numFmtId="164" fontId="2" fillId="2" borderId="0" xfId="0" applyNumberFormat="1" applyFont="1" applyFill="1"/>
    <xf numFmtId="0" fontId="2" fillId="6" borderId="0" xfId="0" applyFont="1" applyFill="1"/>
    <xf numFmtId="0" fontId="7" fillId="2" borderId="0" xfId="0" applyFont="1" applyFill="1"/>
    <xf numFmtId="0" fontId="9" fillId="2" borderId="0" xfId="0" applyFont="1" applyFill="1"/>
    <xf numFmtId="0" fontId="10" fillId="2" borderId="0" xfId="0" applyFont="1" applyFill="1"/>
    <xf numFmtId="166" fontId="2" fillId="6" borderId="0" xfId="0" applyNumberFormat="1" applyFont="1" applyFill="1"/>
    <xf numFmtId="0" fontId="8" fillId="5" borderId="0" xfId="0" applyFont="1" applyFill="1"/>
    <xf numFmtId="164" fontId="7" fillId="2" borderId="0" xfId="0" applyNumberFormat="1" applyFont="1" applyFill="1"/>
    <xf numFmtId="167" fontId="7" fillId="2" borderId="0" xfId="0" applyNumberFormat="1" applyFont="1" applyFill="1"/>
    <xf numFmtId="165" fontId="2" fillId="2" borderId="2" xfId="0" applyNumberFormat="1" applyFont="1" applyFill="1" applyBorder="1"/>
    <xf numFmtId="164" fontId="2" fillId="2" borderId="2" xfId="0" applyNumberFormat="1" applyFont="1" applyFill="1" applyBorder="1"/>
    <xf numFmtId="167" fontId="2" fillId="2" borderId="2" xfId="0" applyNumberFormat="1" applyFont="1" applyFill="1" applyBorder="1"/>
    <xf numFmtId="165" fontId="2" fillId="2" borderId="3" xfId="0" applyNumberFormat="1" applyFont="1" applyFill="1" applyBorder="1"/>
    <xf numFmtId="164" fontId="2" fillId="2" borderId="3" xfId="0" applyNumberFormat="1" applyFont="1" applyFill="1" applyBorder="1"/>
    <xf numFmtId="167" fontId="2" fillId="2" borderId="3" xfId="0" applyNumberFormat="1" applyFont="1" applyFill="1" applyBorder="1"/>
    <xf numFmtId="165" fontId="2" fillId="2" borderId="4" xfId="0" applyNumberFormat="1" applyFont="1" applyFill="1" applyBorder="1"/>
    <xf numFmtId="164" fontId="2" fillId="2" borderId="4" xfId="0" applyNumberFormat="1" applyFont="1" applyFill="1" applyBorder="1"/>
    <xf numFmtId="167" fontId="2" fillId="2" borderId="4" xfId="0" applyNumberFormat="1" applyFont="1" applyFill="1" applyBorder="1"/>
    <xf numFmtId="0" fontId="12" fillId="3" borderId="0" xfId="0" applyFont="1" applyFill="1"/>
    <xf numFmtId="169" fontId="1" fillId="0" borderId="0" xfId="0" applyNumberFormat="1" applyFont="1"/>
    <xf numFmtId="9" fontId="1" fillId="0" borderId="0" xfId="0" applyNumberFormat="1" applyFont="1"/>
    <xf numFmtId="0" fontId="17" fillId="2" borderId="0" xfId="0" applyFont="1" applyFill="1"/>
    <xf numFmtId="0" fontId="2" fillId="8" borderId="25" xfId="0" applyFont="1" applyFill="1" applyBorder="1"/>
    <xf numFmtId="0" fontId="2" fillId="8" borderId="3" xfId="0" applyFont="1" applyFill="1" applyBorder="1"/>
    <xf numFmtId="0" fontId="2" fillId="8" borderId="26" xfId="0" applyFont="1" applyFill="1" applyBorder="1"/>
    <xf numFmtId="0" fontId="25" fillId="8" borderId="2" xfId="0" applyFont="1" applyFill="1" applyBorder="1"/>
    <xf numFmtId="0" fontId="25" fillId="8" borderId="2" xfId="0" applyFont="1" applyFill="1" applyBorder="1" applyAlignment="1">
      <alignment horizontal="right"/>
    </xf>
    <xf numFmtId="0" fontId="7" fillId="8" borderId="27" xfId="0" applyFont="1" applyFill="1" applyBorder="1"/>
    <xf numFmtId="0" fontId="25" fillId="8" borderId="2" xfId="0" applyFont="1" applyFill="1" applyBorder="1" applyAlignment="1">
      <alignment horizontal="left" indent="1"/>
    </xf>
    <xf numFmtId="0" fontId="2" fillId="8" borderId="25" xfId="0" applyFont="1" applyFill="1" applyBorder="1" applyAlignment="1">
      <alignment horizontal="left" indent="1"/>
    </xf>
    <xf numFmtId="0" fontId="2" fillId="8" borderId="3" xfId="0" applyFont="1" applyFill="1" applyBorder="1" applyAlignment="1">
      <alignment horizontal="left" indent="1"/>
    </xf>
    <xf numFmtId="0" fontId="2" fillId="8" borderId="26" xfId="0" applyFont="1" applyFill="1" applyBorder="1" applyAlignment="1">
      <alignment horizontal="left" indent="1"/>
    </xf>
    <xf numFmtId="0" fontId="7" fillId="8" borderId="27" xfId="0" applyFont="1" applyFill="1" applyBorder="1" applyAlignment="1">
      <alignment horizontal="left" indent="1"/>
    </xf>
    <xf numFmtId="169" fontId="2" fillId="8" borderId="25" xfId="0" applyNumberFormat="1" applyFont="1" applyFill="1" applyBorder="1"/>
    <xf numFmtId="169" fontId="2" fillId="8" borderId="3" xfId="0" applyNumberFormat="1" applyFont="1" applyFill="1" applyBorder="1"/>
    <xf numFmtId="169" fontId="2" fillId="8" borderId="26" xfId="0" applyNumberFormat="1" applyFont="1" applyFill="1" applyBorder="1"/>
    <xf numFmtId="169" fontId="7" fillId="8" borderId="27" xfId="0" applyNumberFormat="1" applyFont="1" applyFill="1" applyBorder="1"/>
    <xf numFmtId="9" fontId="2" fillId="8" borderId="3" xfId="0" applyNumberFormat="1" applyFont="1" applyFill="1" applyBorder="1"/>
    <xf numFmtId="9" fontId="2" fillId="8" borderId="26" xfId="0" applyNumberFormat="1" applyFont="1" applyFill="1" applyBorder="1"/>
    <xf numFmtId="0" fontId="21" fillId="2" borderId="0" xfId="0" applyFont="1" applyFill="1"/>
    <xf numFmtId="0" fontId="27" fillId="2" borderId="0" xfId="0" applyFont="1" applyFill="1"/>
    <xf numFmtId="0" fontId="9" fillId="8" borderId="3" xfId="0" applyFont="1" applyFill="1" applyBorder="1"/>
    <xf numFmtId="164" fontId="2" fillId="8" borderId="3" xfId="0" applyNumberFormat="1" applyFont="1" applyFill="1" applyBorder="1"/>
    <xf numFmtId="0" fontId="9" fillId="8" borderId="26" xfId="0" applyFont="1" applyFill="1" applyBorder="1"/>
    <xf numFmtId="164" fontId="2" fillId="8" borderId="26" xfId="0" applyNumberFormat="1" applyFont="1" applyFill="1" applyBorder="1"/>
    <xf numFmtId="0" fontId="27" fillId="8" borderId="2" xfId="0" applyFont="1" applyFill="1" applyBorder="1"/>
    <xf numFmtId="175" fontId="2" fillId="8" borderId="3" xfId="0" applyNumberFormat="1" applyFont="1" applyFill="1" applyBorder="1" applyAlignment="1">
      <alignment horizontal="left" indent="1"/>
    </xf>
    <xf numFmtId="175" fontId="2" fillId="8" borderId="26" xfId="0" applyNumberFormat="1" applyFont="1" applyFill="1" applyBorder="1" applyAlignment="1">
      <alignment horizontal="left" indent="1"/>
    </xf>
    <xf numFmtId="0" fontId="28" fillId="8" borderId="2" xfId="0" applyFont="1" applyFill="1" applyBorder="1" applyAlignment="1">
      <alignment horizontal="left" indent="1"/>
    </xf>
    <xf numFmtId="0" fontId="14" fillId="8" borderId="0" xfId="0" applyFont="1" applyFill="1"/>
    <xf numFmtId="169" fontId="14" fillId="8" borderId="0" xfId="0" applyNumberFormat="1" applyFont="1" applyFill="1"/>
    <xf numFmtId="0" fontId="18" fillId="8" borderId="2" xfId="0" applyFont="1" applyFill="1" applyBorder="1"/>
    <xf numFmtId="178" fontId="18" fillId="8" borderId="2" xfId="0" applyNumberFormat="1" applyFont="1" applyFill="1" applyBorder="1" applyAlignment="1">
      <alignment horizontal="right"/>
    </xf>
    <xf numFmtId="0" fontId="18" fillId="8" borderId="2" xfId="0" applyFont="1" applyFill="1" applyBorder="1" applyAlignment="1">
      <alignment horizontal="right"/>
    </xf>
    <xf numFmtId="169" fontId="15" fillId="8" borderId="0" xfId="0" applyNumberFormat="1" applyFont="1" applyFill="1"/>
    <xf numFmtId="0" fontId="15" fillId="8" borderId="27" xfId="0" applyFont="1" applyFill="1" applyBorder="1"/>
    <xf numFmtId="169" fontId="15" fillId="8" borderId="27" xfId="0" applyNumberFormat="1" applyFont="1" applyFill="1" applyBorder="1"/>
    <xf numFmtId="0" fontId="18" fillId="8" borderId="2" xfId="0" applyFont="1" applyFill="1" applyBorder="1" applyAlignment="1">
      <alignment horizontal="left" indent="1"/>
    </xf>
    <xf numFmtId="0" fontId="14" fillId="8" borderId="0" xfId="0" applyFont="1" applyFill="1" applyAlignment="1">
      <alignment horizontal="left" indent="1"/>
    </xf>
    <xf numFmtId="0" fontId="15" fillId="8" borderId="27" xfId="0" applyFont="1" applyFill="1" applyBorder="1" applyAlignment="1">
      <alignment horizontal="left" indent="1"/>
    </xf>
    <xf numFmtId="168" fontId="7" fillId="6" borderId="0" xfId="0" applyNumberFormat="1" applyFont="1" applyFill="1"/>
    <xf numFmtId="0" fontId="2" fillId="2" borderId="2" xfId="0" applyFont="1" applyFill="1" applyBorder="1"/>
    <xf numFmtId="164" fontId="7" fillId="2" borderId="2" xfId="0" applyNumberFormat="1" applyFont="1" applyFill="1" applyBorder="1" applyAlignment="1">
      <alignment horizontal="right"/>
    </xf>
    <xf numFmtId="0" fontId="2" fillId="2" borderId="3" xfId="0" applyFont="1" applyFill="1" applyBorder="1"/>
    <xf numFmtId="164" fontId="7" fillId="2" borderId="3" xfId="0" applyNumberFormat="1" applyFont="1" applyFill="1" applyBorder="1" applyAlignment="1">
      <alignment horizontal="right"/>
    </xf>
    <xf numFmtId="49" fontId="7" fillId="2" borderId="3" xfId="0" applyNumberFormat="1" applyFont="1" applyFill="1" applyBorder="1" applyAlignment="1">
      <alignment horizontal="right"/>
    </xf>
    <xf numFmtId="0" fontId="2" fillId="2" borderId="26" xfId="0" applyFont="1" applyFill="1" applyBorder="1"/>
    <xf numFmtId="177" fontId="7" fillId="2" borderId="26" xfId="0" applyNumberFormat="1" applyFont="1" applyFill="1" applyBorder="1" applyAlignment="1">
      <alignment horizontal="right"/>
    </xf>
    <xf numFmtId="164" fontId="30" fillId="2" borderId="2" xfId="0" applyNumberFormat="1" applyFont="1" applyFill="1" applyBorder="1" applyAlignment="1">
      <alignment horizontal="right"/>
    </xf>
    <xf numFmtId="167" fontId="7" fillId="2" borderId="26" xfId="0" applyNumberFormat="1" applyFont="1" applyFill="1" applyBorder="1" applyAlignment="1">
      <alignment horizontal="right"/>
    </xf>
    <xf numFmtId="169" fontId="2" fillId="2" borderId="2" xfId="0" applyNumberFormat="1" applyFont="1" applyFill="1" applyBorder="1"/>
    <xf numFmtId="9" fontId="2" fillId="2" borderId="2" xfId="0" applyNumberFormat="1" applyFont="1" applyFill="1" applyBorder="1"/>
    <xf numFmtId="169" fontId="2" fillId="2" borderId="3" xfId="0" applyNumberFormat="1" applyFont="1" applyFill="1" applyBorder="1"/>
    <xf numFmtId="9" fontId="2" fillId="2" borderId="3" xfId="0" applyNumberFormat="1" applyFont="1" applyFill="1" applyBorder="1"/>
    <xf numFmtId="169" fontId="2" fillId="2" borderId="26" xfId="0" applyNumberFormat="1" applyFont="1" applyFill="1" applyBorder="1"/>
    <xf numFmtId="9" fontId="2" fillId="2" borderId="26" xfId="0" applyNumberFormat="1" applyFont="1" applyFill="1" applyBorder="1"/>
    <xf numFmtId="0" fontId="8" fillId="5" borderId="0" xfId="0" applyFont="1" applyFill="1" applyAlignment="1">
      <alignment horizontal="right"/>
    </xf>
    <xf numFmtId="0" fontId="31" fillId="2" borderId="0" xfId="0" applyFont="1" applyFill="1"/>
    <xf numFmtId="0" fontId="31" fillId="3" borderId="0" xfId="0" applyFont="1" applyFill="1"/>
    <xf numFmtId="0" fontId="13" fillId="4" borderId="0" xfId="1" applyFont="1" applyFill="1" applyAlignment="1">
      <alignment horizontal="center"/>
    </xf>
    <xf numFmtId="0" fontId="32" fillId="2" borderId="0" xfId="0" applyFont="1" applyFill="1"/>
    <xf numFmtId="165" fontId="32" fillId="6" borderId="28" xfId="0" applyNumberFormat="1" applyFont="1" applyFill="1" applyBorder="1" applyAlignment="1">
      <alignment horizontal="center"/>
    </xf>
    <xf numFmtId="0" fontId="33" fillId="2" borderId="5" xfId="0" applyFont="1" applyFill="1" applyBorder="1"/>
    <xf numFmtId="164" fontId="34" fillId="2" borderId="5" xfId="0" applyNumberFormat="1" applyFont="1" applyFill="1" applyBorder="1" applyAlignment="1">
      <alignment horizontal="right"/>
    </xf>
    <xf numFmtId="0" fontId="33" fillId="2" borderId="3" xfId="0" applyFont="1" applyFill="1" applyBorder="1"/>
    <xf numFmtId="0" fontId="33" fillId="2" borderId="26" xfId="0" applyFont="1" applyFill="1" applyBorder="1"/>
    <xf numFmtId="164" fontId="35" fillId="2" borderId="26" xfId="0" applyNumberFormat="1" applyFont="1" applyFill="1" applyBorder="1" applyAlignment="1">
      <alignment horizontal="right"/>
    </xf>
    <xf numFmtId="164" fontId="36" fillId="2" borderId="26" xfId="0" applyNumberFormat="1" applyFont="1" applyFill="1" applyBorder="1" applyAlignment="1">
      <alignment horizontal="right"/>
    </xf>
    <xf numFmtId="164" fontId="37" fillId="2" borderId="3" xfId="0" applyNumberFormat="1" applyFont="1" applyFill="1" applyBorder="1" applyAlignment="1">
      <alignment horizontal="right"/>
    </xf>
    <xf numFmtId="179" fontId="32" fillId="2" borderId="3" xfId="0" applyNumberFormat="1" applyFont="1" applyFill="1" applyBorder="1" applyAlignment="1">
      <alignment horizontal="right"/>
    </xf>
    <xf numFmtId="164" fontId="38" fillId="2" borderId="26" xfId="0" applyNumberFormat="1" applyFont="1" applyFill="1" applyBorder="1" applyAlignment="1">
      <alignment horizontal="right"/>
    </xf>
    <xf numFmtId="167" fontId="39" fillId="2" borderId="26" xfId="0" applyNumberFormat="1" applyFont="1" applyFill="1" applyBorder="1" applyAlignment="1">
      <alignment horizontal="right"/>
    </xf>
    <xf numFmtId="169" fontId="32" fillId="2" borderId="5" xfId="0" applyNumberFormat="1" applyFont="1" applyFill="1" applyBorder="1" applyAlignment="1">
      <alignment horizontal="right"/>
    </xf>
    <xf numFmtId="9" fontId="32" fillId="2" borderId="3" xfId="0" applyNumberFormat="1" applyFont="1" applyFill="1" applyBorder="1" applyAlignment="1">
      <alignment horizontal="right"/>
    </xf>
    <xf numFmtId="9" fontId="32" fillId="2" borderId="26" xfId="0" applyNumberFormat="1" applyFont="1" applyFill="1" applyBorder="1" applyAlignment="1">
      <alignment horizontal="right"/>
    </xf>
    <xf numFmtId="169" fontId="32" fillId="2" borderId="3" xfId="0" applyNumberFormat="1" applyFont="1" applyFill="1" applyBorder="1" applyAlignment="1">
      <alignment horizontal="right"/>
    </xf>
    <xf numFmtId="169" fontId="32" fillId="2" borderId="26" xfId="0" applyNumberFormat="1" applyFont="1" applyFill="1" applyBorder="1" applyAlignment="1">
      <alignment horizontal="right"/>
    </xf>
    <xf numFmtId="0" fontId="31" fillId="2" borderId="5" xfId="0" applyFont="1" applyFill="1" applyBorder="1"/>
    <xf numFmtId="0" fontId="31" fillId="2" borderId="3" xfId="0" applyFont="1" applyFill="1" applyBorder="1"/>
    <xf numFmtId="0" fontId="31" fillId="2" borderId="26" xfId="0" applyFont="1" applyFill="1" applyBorder="1"/>
    <xf numFmtId="49" fontId="32" fillId="2" borderId="5" xfId="0" applyNumberFormat="1" applyFont="1" applyFill="1" applyBorder="1" applyAlignment="1">
      <alignment horizontal="right"/>
    </xf>
    <xf numFmtId="164" fontId="32" fillId="2" borderId="3" xfId="0" applyNumberFormat="1" applyFont="1" applyFill="1" applyBorder="1" applyAlignment="1">
      <alignment horizontal="right"/>
    </xf>
    <xf numFmtId="164" fontId="32" fillId="2" borderId="26" xfId="0" applyNumberFormat="1" applyFont="1" applyFill="1" applyBorder="1" applyAlignment="1">
      <alignment horizontal="right"/>
    </xf>
    <xf numFmtId="177" fontId="32" fillId="2" borderId="3" xfId="0" applyNumberFormat="1" applyFont="1" applyFill="1" applyBorder="1" applyAlignment="1">
      <alignment horizontal="right"/>
    </xf>
    <xf numFmtId="9" fontId="32" fillId="2" borderId="5" xfId="0" applyNumberFormat="1" applyFont="1" applyFill="1" applyBorder="1" applyAlignment="1">
      <alignment horizontal="right"/>
    </xf>
    <xf numFmtId="164" fontId="30" fillId="2" borderId="5" xfId="0" applyNumberFormat="1" applyFont="1" applyFill="1" applyBorder="1" applyAlignment="1">
      <alignment horizontal="right"/>
    </xf>
    <xf numFmtId="0" fontId="7" fillId="2" borderId="27" xfId="0" applyFont="1" applyFill="1" applyBorder="1"/>
    <xf numFmtId="169" fontId="7" fillId="2" borderId="0" xfId="0" applyNumberFormat="1" applyFont="1" applyFill="1"/>
    <xf numFmtId="0" fontId="2" fillId="2" borderId="29" xfId="0" applyFont="1" applyFill="1" applyBorder="1"/>
    <xf numFmtId="169" fontId="2" fillId="2" borderId="29" xfId="0" applyNumberFormat="1" applyFont="1" applyFill="1" applyBorder="1"/>
    <xf numFmtId="169" fontId="7" fillId="2" borderId="2" xfId="0" applyNumberFormat="1" applyFont="1" applyFill="1" applyBorder="1"/>
    <xf numFmtId="169" fontId="7" fillId="2" borderId="3" xfId="0" applyNumberFormat="1" applyFont="1" applyFill="1" applyBorder="1"/>
    <xf numFmtId="165" fontId="2" fillId="2" borderId="26" xfId="0" applyNumberFormat="1" applyFont="1" applyFill="1" applyBorder="1"/>
    <xf numFmtId="169" fontId="7" fillId="2" borderId="26" xfId="0" applyNumberFormat="1" applyFont="1" applyFill="1" applyBorder="1"/>
    <xf numFmtId="164" fontId="40" fillId="2" borderId="2" xfId="0" applyNumberFormat="1" applyFont="1" applyFill="1" applyBorder="1" applyAlignment="1">
      <alignment horizontal="right"/>
    </xf>
    <xf numFmtId="9" fontId="7" fillId="2" borderId="3" xfId="0" applyNumberFormat="1" applyFont="1" applyFill="1" applyBorder="1" applyAlignment="1">
      <alignment horizontal="right"/>
    </xf>
    <xf numFmtId="166" fontId="7" fillId="2" borderId="26" xfId="0" applyNumberFormat="1" applyFont="1" applyFill="1" applyBorder="1" applyAlignment="1">
      <alignment horizontal="right"/>
    </xf>
    <xf numFmtId="0" fontId="41" fillId="2" borderId="0" xfId="0" applyFont="1" applyFill="1"/>
    <xf numFmtId="0" fontId="2" fillId="2" borderId="5" xfId="0" applyFont="1" applyFill="1" applyBorder="1"/>
    <xf numFmtId="10" fontId="7" fillId="2" borderId="26" xfId="0" applyNumberFormat="1" applyFont="1" applyFill="1" applyBorder="1" applyAlignment="1">
      <alignment horizontal="right"/>
    </xf>
    <xf numFmtId="164" fontId="7" fillId="2" borderId="26" xfId="0" applyNumberFormat="1" applyFont="1" applyFill="1" applyBorder="1" applyAlignment="1">
      <alignment horizontal="right"/>
    </xf>
    <xf numFmtId="164" fontId="42" fillId="2" borderId="26" xfId="0" applyNumberFormat="1" applyFont="1" applyFill="1" applyBorder="1" applyAlignment="1">
      <alignment horizontal="right"/>
    </xf>
    <xf numFmtId="181" fontId="7" fillId="2" borderId="26" xfId="0" applyNumberFormat="1" applyFont="1" applyFill="1" applyBorder="1" applyAlignment="1">
      <alignment horizontal="right"/>
    </xf>
    <xf numFmtId="168" fontId="7" fillId="2" borderId="3" xfId="0" applyNumberFormat="1" applyFont="1" applyFill="1" applyBorder="1" applyAlignment="1">
      <alignment horizontal="right"/>
    </xf>
    <xf numFmtId="180" fontId="42" fillId="2" borderId="26" xfId="0" applyNumberFormat="1" applyFont="1" applyFill="1" applyBorder="1" applyAlignment="1">
      <alignment horizontal="right"/>
    </xf>
    <xf numFmtId="182" fontId="41" fillId="2" borderId="0" xfId="0" applyNumberFormat="1" applyFont="1" applyFill="1"/>
    <xf numFmtId="8" fontId="41" fillId="2" borderId="0" xfId="0" applyNumberFormat="1" applyFont="1" applyFill="1"/>
    <xf numFmtId="164" fontId="41" fillId="2" borderId="0" xfId="0" applyNumberFormat="1" applyFont="1" applyFill="1"/>
    <xf numFmtId="0" fontId="8" fillId="5" borderId="5" xfId="0" applyFont="1" applyFill="1" applyBorder="1"/>
    <xf numFmtId="0" fontId="8" fillId="5" borderId="5" xfId="0" applyFont="1" applyFill="1" applyBorder="1" applyAlignment="1">
      <alignment horizontal="right"/>
    </xf>
    <xf numFmtId="1" fontId="2" fillId="2" borderId="2" xfId="0" applyNumberFormat="1" applyFont="1" applyFill="1" applyBorder="1" applyAlignment="1">
      <alignment horizontal="center"/>
    </xf>
    <xf numFmtId="169" fontId="10" fillId="2" borderId="2" xfId="0" applyNumberFormat="1" applyFont="1" applyFill="1" applyBorder="1"/>
    <xf numFmtId="1" fontId="2" fillId="2" borderId="3" xfId="0" applyNumberFormat="1" applyFont="1" applyFill="1" applyBorder="1" applyAlignment="1">
      <alignment horizontal="center"/>
    </xf>
    <xf numFmtId="169" fontId="10" fillId="2" borderId="3" xfId="0" applyNumberFormat="1" applyFont="1" applyFill="1" applyBorder="1"/>
    <xf numFmtId="1" fontId="2" fillId="2" borderId="26" xfId="0" applyNumberFormat="1" applyFont="1" applyFill="1" applyBorder="1" applyAlignment="1">
      <alignment horizontal="center"/>
    </xf>
    <xf numFmtId="169" fontId="10" fillId="2" borderId="26" xfId="0" applyNumberFormat="1" applyFont="1" applyFill="1" applyBorder="1"/>
    <xf numFmtId="164" fontId="43" fillId="2" borderId="0" xfId="0" applyNumberFormat="1" applyFont="1" applyFill="1" applyAlignment="1">
      <alignment horizontal="right"/>
    </xf>
    <xf numFmtId="164" fontId="29" fillId="2" borderId="27" xfId="0" applyNumberFormat="1" applyFont="1" applyFill="1" applyBorder="1" applyAlignment="1">
      <alignment horizontal="right"/>
    </xf>
    <xf numFmtId="164" fontId="32" fillId="2" borderId="5" xfId="0" applyNumberFormat="1" applyFont="1" applyFill="1" applyBorder="1" applyAlignment="1">
      <alignment horizontal="right"/>
    </xf>
    <xf numFmtId="0" fontId="45" fillId="3" borderId="0" xfId="0" applyFont="1" applyFill="1"/>
    <xf numFmtId="164" fontId="7" fillId="2" borderId="27" xfId="0" applyNumberFormat="1" applyFont="1" applyFill="1" applyBorder="1"/>
    <xf numFmtId="14" fontId="2" fillId="2" borderId="2" xfId="0" applyNumberFormat="1" applyFont="1" applyFill="1" applyBorder="1"/>
    <xf numFmtId="0" fontId="9" fillId="7" borderId="2" xfId="0" applyFont="1" applyFill="1" applyBorder="1"/>
    <xf numFmtId="165" fontId="9" fillId="7" borderId="2" xfId="0" applyNumberFormat="1" applyFont="1" applyFill="1" applyBorder="1"/>
    <xf numFmtId="14" fontId="2" fillId="2" borderId="3" xfId="0" applyNumberFormat="1" applyFont="1" applyFill="1" applyBorder="1"/>
    <xf numFmtId="0" fontId="9" fillId="7" borderId="3" xfId="0" applyFont="1" applyFill="1" applyBorder="1"/>
    <xf numFmtId="165" fontId="9" fillId="7" borderId="3" xfId="0" applyNumberFormat="1" applyFont="1" applyFill="1" applyBorder="1"/>
    <xf numFmtId="0" fontId="8" fillId="5" borderId="0" xfId="0" applyFont="1" applyFill="1" applyAlignment="1">
      <alignment wrapText="1"/>
    </xf>
    <xf numFmtId="0" fontId="2" fillId="6" borderId="2" xfId="0" applyFont="1" applyFill="1" applyBorder="1"/>
    <xf numFmtId="164" fontId="2" fillId="6" borderId="2" xfId="0" applyNumberFormat="1" applyFont="1" applyFill="1" applyBorder="1"/>
    <xf numFmtId="0" fontId="2" fillId="6" borderId="2" xfId="0" applyFont="1" applyFill="1" applyBorder="1" applyAlignment="1">
      <alignment horizontal="center"/>
    </xf>
    <xf numFmtId="175" fontId="2" fillId="7" borderId="2" xfId="0" applyNumberFormat="1" applyFont="1" applyFill="1" applyBorder="1"/>
    <xf numFmtId="164" fontId="2" fillId="7" borderId="2" xfId="0" applyNumberFormat="1" applyFont="1" applyFill="1" applyBorder="1"/>
    <xf numFmtId="14" fontId="7" fillId="7" borderId="2" xfId="0" applyNumberFormat="1" applyFont="1" applyFill="1" applyBorder="1"/>
    <xf numFmtId="0" fontId="2" fillId="6" borderId="3" xfId="0" applyFont="1" applyFill="1" applyBorder="1"/>
    <xf numFmtId="164" fontId="2" fillId="6" borderId="3" xfId="0" applyNumberFormat="1" applyFont="1" applyFill="1" applyBorder="1"/>
    <xf numFmtId="0" fontId="2" fillId="6" borderId="3" xfId="0" applyFont="1" applyFill="1" applyBorder="1" applyAlignment="1">
      <alignment horizontal="center"/>
    </xf>
    <xf numFmtId="175" fontId="2" fillId="7" borderId="3" xfId="0" applyNumberFormat="1" applyFont="1" applyFill="1" applyBorder="1"/>
    <xf numFmtId="164" fontId="2" fillId="7" borderId="3" xfId="0" applyNumberFormat="1" applyFont="1" applyFill="1" applyBorder="1"/>
    <xf numFmtId="14" fontId="7" fillId="7" borderId="3" xfId="0" applyNumberFormat="1" applyFont="1" applyFill="1" applyBorder="1"/>
    <xf numFmtId="169" fontId="2" fillId="6" borderId="2" xfId="0" applyNumberFormat="1" applyFont="1" applyFill="1" applyBorder="1"/>
    <xf numFmtId="169" fontId="2" fillId="6" borderId="3" xfId="0" applyNumberFormat="1" applyFont="1" applyFill="1" applyBorder="1"/>
    <xf numFmtId="14" fontId="2" fillId="6" borderId="2" xfId="0" applyNumberFormat="1" applyFont="1" applyFill="1" applyBorder="1"/>
    <xf numFmtId="165" fontId="2" fillId="7" borderId="2" xfId="0" applyNumberFormat="1" applyFont="1" applyFill="1" applyBorder="1"/>
    <xf numFmtId="0" fontId="2" fillId="7" borderId="2" xfId="0" applyFont="1" applyFill="1" applyBorder="1" applyAlignment="1">
      <alignment horizontal="center"/>
    </xf>
    <xf numFmtId="0" fontId="7" fillId="7" borderId="2" xfId="0" applyFont="1" applyFill="1" applyBorder="1"/>
    <xf numFmtId="14" fontId="2" fillId="6" borderId="3" xfId="0" applyNumberFormat="1" applyFont="1" applyFill="1" applyBorder="1"/>
    <xf numFmtId="165" fontId="2" fillId="7" borderId="3" xfId="0" applyNumberFormat="1" applyFont="1" applyFill="1" applyBorder="1"/>
    <xf numFmtId="0" fontId="2" fillId="7" borderId="3" xfId="0" applyFont="1" applyFill="1" applyBorder="1" applyAlignment="1">
      <alignment horizontal="center"/>
    </xf>
    <xf numFmtId="0" fontId="7" fillId="7" borderId="3" xfId="0" applyFont="1" applyFill="1" applyBorder="1"/>
    <xf numFmtId="10" fontId="2" fillId="6" borderId="2" xfId="0" applyNumberFormat="1" applyFont="1" applyFill="1" applyBorder="1"/>
    <xf numFmtId="1" fontId="2" fillId="7" borderId="2" xfId="0" applyNumberFormat="1" applyFont="1" applyFill="1" applyBorder="1" applyAlignment="1">
      <alignment horizontal="center"/>
    </xf>
    <xf numFmtId="9" fontId="2" fillId="7" borderId="2" xfId="0" applyNumberFormat="1" applyFont="1" applyFill="1" applyBorder="1"/>
    <xf numFmtId="10" fontId="2" fillId="6" borderId="3" xfId="0" applyNumberFormat="1" applyFont="1" applyFill="1" applyBorder="1"/>
    <xf numFmtId="1" fontId="2" fillId="7" borderId="3" xfId="0" applyNumberFormat="1" applyFont="1" applyFill="1" applyBorder="1" applyAlignment="1">
      <alignment horizontal="center"/>
    </xf>
    <xf numFmtId="9" fontId="2" fillId="7" borderId="3" xfId="0" applyNumberFormat="1" applyFont="1" applyFill="1" applyBorder="1"/>
    <xf numFmtId="0" fontId="2" fillId="7" borderId="2" xfId="0" applyFont="1" applyFill="1" applyBorder="1"/>
    <xf numFmtId="0" fontId="2" fillId="7" borderId="3" xfId="0" applyFont="1" applyFill="1" applyBorder="1"/>
    <xf numFmtId="167" fontId="2" fillId="7" borderId="2" xfId="0" applyNumberFormat="1" applyFont="1" applyFill="1" applyBorder="1"/>
    <xf numFmtId="167" fontId="2" fillId="7" borderId="3" xfId="0" applyNumberFormat="1" applyFont="1" applyFill="1" applyBorder="1"/>
    <xf numFmtId="0" fontId="2" fillId="2" borderId="0" xfId="0" applyFont="1" applyFill="1" applyAlignment="1">
      <alignment wrapText="1"/>
    </xf>
    <xf numFmtId="0" fontId="47" fillId="2" borderId="0" xfId="0" applyFont="1" applyFill="1" applyAlignment="1">
      <alignment wrapText="1"/>
    </xf>
    <xf numFmtId="0" fontId="2" fillId="6" borderId="0" xfId="0" applyFont="1" applyFill="1" applyAlignment="1">
      <alignment wrapText="1"/>
    </xf>
    <xf numFmtId="0" fontId="48" fillId="2" borderId="0" xfId="1" applyFont="1" applyFill="1"/>
    <xf numFmtId="0" fontId="49" fillId="2" borderId="0" xfId="0" applyFont="1" applyFill="1"/>
    <xf numFmtId="0" fontId="50" fillId="2" borderId="0" xfId="1" applyFont="1" applyFill="1"/>
    <xf numFmtId="0" fontId="19" fillId="8" borderId="14" xfId="0" applyFont="1" applyFill="1" applyBorder="1" applyAlignment="1">
      <alignment horizontal="left" indent="1"/>
    </xf>
    <xf numFmtId="0" fontId="19" fillId="8" borderId="15" xfId="0" applyFont="1" applyFill="1" applyBorder="1" applyAlignment="1">
      <alignment horizontal="left" indent="1"/>
    </xf>
    <xf numFmtId="169" fontId="20" fillId="8" borderId="9" xfId="0" applyNumberFormat="1" applyFont="1" applyFill="1" applyBorder="1" applyAlignment="1">
      <alignment horizontal="left" indent="1"/>
    </xf>
    <xf numFmtId="169" fontId="20" fillId="8" borderId="0" xfId="0" applyNumberFormat="1" applyFont="1" applyFill="1" applyAlignment="1">
      <alignment horizontal="left" indent="1"/>
    </xf>
    <xf numFmtId="170" fontId="21" fillId="8" borderId="10" xfId="0" applyNumberFormat="1" applyFont="1" applyFill="1" applyBorder="1" applyAlignment="1">
      <alignment horizontal="left" indent="1"/>
    </xf>
    <xf numFmtId="170" fontId="21" fillId="8" borderId="11" xfId="0" applyNumberFormat="1" applyFont="1" applyFill="1" applyBorder="1" applyAlignment="1">
      <alignment horizontal="left" indent="1"/>
    </xf>
    <xf numFmtId="0" fontId="22" fillId="8" borderId="16" xfId="0" applyFont="1" applyFill="1" applyBorder="1" applyAlignment="1">
      <alignment horizontal="left" indent="1"/>
    </xf>
    <xf numFmtId="0" fontId="22" fillId="8" borderId="17" xfId="0" applyFont="1" applyFill="1" applyBorder="1" applyAlignment="1">
      <alignment horizontal="left" indent="1"/>
    </xf>
    <xf numFmtId="0" fontId="24" fillId="8" borderId="22" xfId="0" applyFont="1" applyFill="1" applyBorder="1" applyAlignment="1">
      <alignment horizontal="left" indent="1"/>
    </xf>
    <xf numFmtId="0" fontId="24" fillId="8" borderId="23" xfId="0" applyFont="1" applyFill="1" applyBorder="1" applyAlignment="1">
      <alignment horizontal="left" indent="1"/>
    </xf>
    <xf numFmtId="0" fontId="24" fillId="8" borderId="24" xfId="0" applyFont="1" applyFill="1" applyBorder="1" applyAlignment="1">
      <alignment horizontal="left" indent="1"/>
    </xf>
    <xf numFmtId="167" fontId="20" fillId="8" borderId="9" xfId="0" applyNumberFormat="1" applyFont="1" applyFill="1" applyBorder="1" applyAlignment="1">
      <alignment horizontal="left" indent="1"/>
    </xf>
    <xf numFmtId="167" fontId="20" fillId="8" borderId="0" xfId="0" applyNumberFormat="1" applyFont="1" applyFill="1" applyAlignment="1">
      <alignment horizontal="left" indent="1"/>
    </xf>
    <xf numFmtId="167" fontId="20" fillId="8" borderId="12" xfId="0" applyNumberFormat="1" applyFont="1" applyFill="1" applyBorder="1" applyAlignment="1">
      <alignment horizontal="left" indent="1"/>
    </xf>
    <xf numFmtId="49" fontId="21" fillId="8" borderId="10" xfId="0" applyNumberFormat="1" applyFont="1" applyFill="1" applyBorder="1" applyAlignment="1">
      <alignment horizontal="left" indent="1"/>
    </xf>
    <xf numFmtId="49" fontId="21" fillId="8" borderId="11" xfId="0" applyNumberFormat="1" applyFont="1" applyFill="1" applyBorder="1" applyAlignment="1">
      <alignment horizontal="left" indent="1"/>
    </xf>
    <xf numFmtId="49" fontId="21" fillId="8" borderId="13" xfId="0" applyNumberFormat="1" applyFont="1" applyFill="1" applyBorder="1" applyAlignment="1">
      <alignment horizontal="left" indent="1"/>
    </xf>
    <xf numFmtId="0" fontId="16" fillId="3" borderId="0" xfId="0" applyFont="1" applyFill="1" applyAlignment="1">
      <alignment horizontal="center"/>
    </xf>
    <xf numFmtId="168" fontId="17" fillId="8" borderId="6" xfId="0" applyNumberFormat="1" applyFont="1" applyFill="1" applyBorder="1" applyAlignment="1">
      <alignment horizontal="center"/>
    </xf>
    <xf numFmtId="168" fontId="17" fillId="8" borderId="7" xfId="0" applyNumberFormat="1" applyFont="1" applyFill="1" applyBorder="1" applyAlignment="1">
      <alignment horizontal="center"/>
    </xf>
    <xf numFmtId="168" fontId="17" fillId="8" borderId="8" xfId="0" applyNumberFormat="1" applyFont="1" applyFill="1" applyBorder="1" applyAlignment="1">
      <alignment horizontal="center"/>
    </xf>
    <xf numFmtId="9" fontId="2" fillId="8" borderId="3" xfId="0" applyNumberFormat="1" applyFont="1" applyFill="1" applyBorder="1"/>
    <xf numFmtId="0" fontId="2" fillId="8" borderId="3" xfId="0" applyFont="1" applyFill="1" applyBorder="1"/>
    <xf numFmtId="0" fontId="16" fillId="8" borderId="20" xfId="0" applyFont="1" applyFill="1" applyBorder="1" applyAlignment="1">
      <alignment horizontal="left" indent="1"/>
    </xf>
    <xf numFmtId="0" fontId="16" fillId="8" borderId="21" xfId="0" applyFont="1" applyFill="1" applyBorder="1" applyAlignment="1">
      <alignment horizontal="left" indent="1"/>
    </xf>
    <xf numFmtId="171" fontId="21" fillId="8" borderId="10" xfId="0" applyNumberFormat="1" applyFont="1" applyFill="1" applyBorder="1" applyAlignment="1">
      <alignment horizontal="left" indent="1"/>
    </xf>
    <xf numFmtId="171" fontId="21" fillId="8" borderId="11" xfId="0" applyNumberFormat="1" applyFont="1" applyFill="1" applyBorder="1" applyAlignment="1">
      <alignment horizontal="left" indent="1"/>
    </xf>
    <xf numFmtId="0" fontId="23" fillId="8" borderId="18" xfId="0" applyFont="1" applyFill="1" applyBorder="1" applyAlignment="1">
      <alignment horizontal="left" indent="1"/>
    </xf>
    <xf numFmtId="0" fontId="23" fillId="8" borderId="19" xfId="0" applyFont="1" applyFill="1" applyBorder="1" applyAlignment="1">
      <alignment horizontal="left" indent="1"/>
    </xf>
    <xf numFmtId="0" fontId="25" fillId="8" borderId="2" xfId="0" applyFont="1" applyFill="1" applyBorder="1" applyAlignment="1">
      <alignment horizontal="right"/>
    </xf>
    <xf numFmtId="9" fontId="2" fillId="8" borderId="25" xfId="0" applyNumberFormat="1" applyFont="1" applyFill="1" applyBorder="1"/>
    <xf numFmtId="0" fontId="2" fillId="8" borderId="25" xfId="0" applyFont="1" applyFill="1" applyBorder="1"/>
    <xf numFmtId="0" fontId="25" fillId="8" borderId="2" xfId="0" applyFont="1" applyFill="1" applyBorder="1"/>
    <xf numFmtId="9" fontId="2" fillId="8" borderId="26" xfId="0" applyNumberFormat="1" applyFont="1" applyFill="1" applyBorder="1"/>
    <xf numFmtId="0" fontId="2" fillId="8" borderId="26" xfId="0" applyFont="1" applyFill="1" applyBorder="1"/>
    <xf numFmtId="9" fontId="7" fillId="8" borderId="27" xfId="0" applyNumberFormat="1" applyFont="1" applyFill="1" applyBorder="1"/>
    <xf numFmtId="0" fontId="7" fillId="8" borderId="27" xfId="0" applyFont="1" applyFill="1" applyBorder="1"/>
    <xf numFmtId="169" fontId="26" fillId="8" borderId="9" xfId="0" applyNumberFormat="1" applyFont="1" applyFill="1" applyBorder="1" applyAlignment="1">
      <alignment horizontal="left" indent="1"/>
    </xf>
    <xf numFmtId="169" fontId="26" fillId="8" borderId="0" xfId="0" applyNumberFormat="1" applyFont="1" applyFill="1" applyAlignment="1">
      <alignment horizontal="left" indent="1"/>
    </xf>
    <xf numFmtId="172" fontId="21" fillId="8" borderId="10" xfId="0" applyNumberFormat="1" applyFont="1" applyFill="1" applyBorder="1" applyAlignment="1">
      <alignment horizontal="left" indent="1"/>
    </xf>
    <xf numFmtId="172" fontId="21" fillId="8" borderId="11" xfId="0" applyNumberFormat="1" applyFont="1" applyFill="1" applyBorder="1" applyAlignment="1">
      <alignment horizontal="left" indent="1"/>
    </xf>
    <xf numFmtId="169" fontId="44" fillId="3" borderId="0" xfId="0" applyNumberFormat="1" applyFont="1" applyFill="1" applyAlignment="1">
      <alignment horizontal="center"/>
    </xf>
    <xf numFmtId="169" fontId="7" fillId="8" borderId="26" xfId="0" applyNumberFormat="1" applyFont="1" applyFill="1" applyBorder="1" applyAlignment="1">
      <alignment horizontal="right"/>
    </xf>
    <xf numFmtId="176" fontId="7" fillId="8" borderId="3" xfId="0" applyNumberFormat="1" applyFont="1" applyFill="1" applyBorder="1" applyAlignment="1">
      <alignment horizontal="right"/>
    </xf>
    <xf numFmtId="164" fontId="7" fillId="8" borderId="3" xfId="0" applyNumberFormat="1" applyFont="1" applyFill="1" applyBorder="1" applyAlignment="1">
      <alignment horizontal="right"/>
    </xf>
    <xf numFmtId="169" fontId="7" fillId="8" borderId="3" xfId="0" applyNumberFormat="1" applyFont="1" applyFill="1" applyBorder="1" applyAlignment="1">
      <alignment horizontal="right"/>
    </xf>
    <xf numFmtId="9" fontId="7" fillId="8" borderId="3" xfId="0" applyNumberFormat="1" applyFont="1" applyFill="1" applyBorder="1" applyAlignment="1">
      <alignment horizontal="right"/>
    </xf>
    <xf numFmtId="177" fontId="7" fillId="8" borderId="3" xfId="0" applyNumberFormat="1" applyFont="1" applyFill="1" applyBorder="1" applyAlignment="1">
      <alignment horizontal="right"/>
    </xf>
    <xf numFmtId="173" fontId="21" fillId="8" borderId="10" xfId="0" applyNumberFormat="1" applyFont="1" applyFill="1" applyBorder="1" applyAlignment="1">
      <alignment horizontal="left" indent="1"/>
    </xf>
    <xf numFmtId="173" fontId="21" fillId="8" borderId="11" xfId="0" applyNumberFormat="1" applyFont="1" applyFill="1" applyBorder="1" applyAlignment="1">
      <alignment horizontal="left" indent="1"/>
    </xf>
    <xf numFmtId="174" fontId="26" fillId="8" borderId="9" xfId="0" applyNumberFormat="1" applyFont="1" applyFill="1" applyBorder="1" applyAlignment="1">
      <alignment horizontal="left" indent="1"/>
    </xf>
    <xf numFmtId="174" fontId="26" fillId="8" borderId="0" xfId="0" applyNumberFormat="1" applyFont="1" applyFill="1" applyAlignment="1">
      <alignment horizontal="left" indent="1"/>
    </xf>
    <xf numFmtId="174" fontId="26" fillId="8" borderId="12" xfId="0" applyNumberFormat="1" applyFont="1" applyFill="1" applyBorder="1" applyAlignment="1">
      <alignment horizontal="left" indent="1"/>
    </xf>
    <xf numFmtId="0" fontId="46" fillId="3" borderId="0" xfId="0" applyFont="1" applyFill="1" applyAlignment="1">
      <alignment vertical="center" wrapText="1"/>
    </xf>
    <xf numFmtId="164" fontId="2" fillId="6" borderId="5" xfId="0" applyNumberFormat="1" applyFont="1" applyFill="1" applyBorder="1" applyAlignment="1">
      <alignment horizontal="right"/>
    </xf>
    <xf numFmtId="164" fontId="2" fillId="6" borderId="26" xfId="0" applyNumberFormat="1" applyFont="1" applyFill="1" applyBorder="1" applyAlignment="1">
      <alignment horizontal="right"/>
    </xf>
    <xf numFmtId="180" fontId="2" fillId="6" borderId="26" xfId="0" applyNumberFormat="1" applyFont="1" applyFill="1" applyBorder="1" applyAlignment="1">
      <alignment horizontal="right"/>
    </xf>
    <xf numFmtId="167" fontId="2" fillId="6" borderId="26" xfId="0" applyNumberFormat="1" applyFont="1" applyFill="1" applyBorder="1" applyAlignment="1">
      <alignment horizontal="right"/>
    </xf>
  </cellXfs>
  <cellStyles count="2">
    <cellStyle name="Hiperlink" xfId="1" builtinId="8"/>
    <cellStyle name="Normal" xfId="0" builtinId="0"/>
  </cellStyles>
  <dxfs count="133">
    <dxf>
      <font>
        <color rgb="FFF0705A"/>
      </font>
    </dxf>
    <dxf>
      <font>
        <color rgb="FFF0705A"/>
      </font>
    </dxf>
    <dxf>
      <font>
        <color rgb="FFF0705A"/>
      </font>
    </dxf>
    <dxf>
      <font>
        <color rgb="FFF0705A"/>
      </font>
    </dxf>
    <dxf>
      <font>
        <color rgb="FF7E9299"/>
      </font>
    </dxf>
    <dxf>
      <font>
        <color rgb="FFF2B544"/>
      </font>
    </dxf>
    <dxf>
      <font>
        <color rgb="FF22B39A"/>
      </font>
    </dxf>
    <dxf>
      <font>
        <color rgb="FFF0705A"/>
      </font>
    </dxf>
    <dxf>
      <font>
        <color rgb="FFF0705A"/>
      </font>
    </dxf>
    <dxf>
      <font>
        <color rgb="FFF2B544"/>
      </font>
    </dxf>
    <dxf>
      <font>
        <color rgb="FFF0705A"/>
      </font>
    </dxf>
    <dxf>
      <font>
        <color rgb="FF22B39A"/>
      </font>
    </dxf>
    <dxf>
      <font>
        <b/>
        <i val="0"/>
        <color rgb="FFF0705A"/>
      </font>
    </dxf>
    <dxf>
      <font>
        <color rgb="FF5B9BD5"/>
      </font>
    </dxf>
    <dxf>
      <font>
        <b/>
        <i val="0"/>
        <color rgb="FF22B39A"/>
      </font>
    </dxf>
    <dxf>
      <font>
        <color rgb="FF22B39A"/>
      </font>
    </dxf>
    <dxf>
      <font>
        <color rgb="FFF0705A"/>
      </font>
    </dxf>
    <dxf>
      <font>
        <color rgb="FFF0705A"/>
      </font>
    </dxf>
    <dxf>
      <font>
        <color rgb="FFF0705A"/>
      </font>
    </dxf>
    <dxf>
      <font>
        <color rgb="FF22B39A"/>
      </font>
    </dxf>
    <dxf>
      <font>
        <color rgb="FFF0705A"/>
      </font>
    </dxf>
    <dxf>
      <font>
        <color rgb="FFF0705A"/>
      </font>
    </dxf>
    <dxf>
      <font>
        <color rgb="FF22B39A"/>
      </font>
    </dxf>
    <dxf>
      <font>
        <color rgb="FFF0705A"/>
      </font>
    </dxf>
    <dxf>
      <font>
        <color rgb="FF22B39A"/>
      </font>
    </dxf>
    <dxf>
      <font>
        <color rgb="FFF0705A"/>
      </font>
    </dxf>
    <dxf>
      <font>
        <color rgb="FF22B39A"/>
      </font>
    </dxf>
    <dxf>
      <font>
        <color rgb="FFF0705A"/>
      </font>
    </dxf>
    <dxf>
      <font>
        <color rgb="FFF0705A"/>
      </font>
    </dxf>
    <dxf>
      <font>
        <color rgb="FFF0705A"/>
      </font>
    </dxf>
    <dxf>
      <font>
        <color rgb="FF22B39A"/>
      </font>
    </dxf>
    <dxf>
      <font>
        <b/>
        <i val="0"/>
        <color rgb="FFF0705A"/>
      </font>
    </dxf>
    <dxf>
      <font>
        <b/>
        <i val="0"/>
        <color rgb="FF22B39A"/>
      </font>
    </dxf>
    <dxf>
      <font>
        <b/>
        <i val="0"/>
        <color rgb="FFF0705A"/>
      </font>
    </dxf>
    <dxf>
      <font>
        <color rgb="FFF0705A"/>
      </font>
    </dxf>
    <dxf>
      <font>
        <color rgb="FF22B39A"/>
      </font>
    </dxf>
    <dxf>
      <font>
        <color rgb="FFF0705A"/>
      </font>
    </dxf>
    <dxf>
      <font>
        <color rgb="FF22B39A"/>
      </font>
    </dxf>
    <dxf>
      <font>
        <color rgb="FFF0705A"/>
      </font>
    </dxf>
    <dxf>
      <font>
        <color rgb="FFF0705A"/>
      </font>
    </dxf>
    <dxf>
      <font>
        <color rgb="FF22B39A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D5E0E3"/>
        <name val="Segoe UI"/>
        <family val="2"/>
        <scheme val="none"/>
      </font>
      <numFmt numFmtId="13" formatCode="0%"/>
      <fill>
        <patternFill patternType="solid">
          <fgColor indexed="64"/>
          <bgColor rgb="FF10242A"/>
        </patternFill>
      </fill>
      <border diagonalUp="0" diagonalDown="0">
        <left/>
        <right/>
        <top style="thin">
          <color rgb="FF23404A"/>
        </top>
        <bottom style="thin">
          <color rgb="FF23404A"/>
        </bottom>
        <vertical/>
        <horizontal style="thin">
          <color rgb="FF23404A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D5E0E3"/>
        <name val="Segoe UI"/>
        <family val="2"/>
        <scheme val="none"/>
      </font>
      <numFmt numFmtId="167" formatCode="0.0%"/>
      <fill>
        <patternFill patternType="solid">
          <fgColor indexed="64"/>
          <bgColor rgb="FF10242A"/>
        </patternFill>
      </fill>
      <border diagonalUp="0" diagonalDown="0">
        <left/>
        <right/>
        <top style="thin">
          <color rgb="FF23404A"/>
        </top>
        <bottom style="thin">
          <color rgb="FF23404A"/>
        </bottom>
        <vertical/>
        <horizontal style="thin">
          <color rgb="FF23404A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D5E0E3"/>
        <name val="Segoe UI"/>
        <family val="2"/>
        <scheme val="none"/>
      </font>
      <numFmt numFmtId="164" formatCode="&quot;R$ &quot;#,##0.00;\-&quot;R$ &quot;#,##0.00;&quot;-&quot;"/>
      <fill>
        <patternFill patternType="solid">
          <fgColor indexed="64"/>
          <bgColor rgb="FF10242A"/>
        </patternFill>
      </fill>
      <border diagonalUp="0" diagonalDown="0">
        <left/>
        <right/>
        <top style="thin">
          <color rgb="FF23404A"/>
        </top>
        <bottom style="thin">
          <color rgb="FF23404A"/>
        </bottom>
        <vertical/>
        <horizontal style="thin">
          <color rgb="FF23404A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D5E0E3"/>
        <name val="Segoe UI"/>
        <family val="2"/>
        <scheme val="none"/>
      </font>
      <numFmt numFmtId="164" formatCode="&quot;R$ &quot;#,##0.00;\-&quot;R$ &quot;#,##0.00;&quot;-&quot;"/>
      <fill>
        <patternFill patternType="solid">
          <fgColor indexed="64"/>
          <bgColor rgb="FF332D17"/>
        </patternFill>
      </fill>
      <border diagonalUp="0" diagonalDown="0">
        <left/>
        <right/>
        <top style="thin">
          <color rgb="FF23404A"/>
        </top>
        <bottom style="thin">
          <color rgb="FF23404A"/>
        </bottom>
        <vertical/>
        <horizontal style="thin">
          <color rgb="FF23404A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D5E0E3"/>
        <name val="Segoe UI"/>
        <family val="2"/>
        <scheme val="none"/>
      </font>
      <numFmt numFmtId="164" formatCode="&quot;R$ &quot;#,##0.00;\-&quot;R$ &quot;#,##0.00;&quot;-&quot;"/>
      <fill>
        <patternFill patternType="solid">
          <fgColor indexed="64"/>
          <bgColor rgb="FF332D17"/>
        </patternFill>
      </fill>
      <border diagonalUp="0" diagonalDown="0">
        <left/>
        <right/>
        <top style="thin">
          <color rgb="FF23404A"/>
        </top>
        <bottom style="thin">
          <color rgb="FF23404A"/>
        </bottom>
        <vertical/>
        <horizontal style="thin">
          <color rgb="FF23404A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D5E0E3"/>
        <name val="Segoe UI"/>
        <family val="2"/>
        <scheme val="none"/>
      </font>
      <fill>
        <patternFill patternType="solid">
          <fgColor indexed="64"/>
          <bgColor rgb="FF332D17"/>
        </patternFill>
      </fill>
      <border diagonalUp="0" diagonalDown="0">
        <left/>
        <right/>
        <top style="thin">
          <color rgb="FF23404A"/>
        </top>
        <bottom style="thin">
          <color rgb="FF23404A"/>
        </bottom>
        <vertical/>
        <horizontal style="thin">
          <color rgb="FF23404A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D5E0E3"/>
        <name val="Segoe UI"/>
        <family val="2"/>
        <scheme val="none"/>
      </font>
      <fill>
        <patternFill patternType="solid">
          <fgColor indexed="64"/>
          <bgColor rgb="FF332D17"/>
        </patternFill>
      </fill>
      <border diagonalUp="0" diagonalDown="0">
        <left/>
        <right/>
        <top style="thin">
          <color rgb="FF23404A"/>
        </top>
        <bottom style="thin">
          <color rgb="FF23404A"/>
        </bottom>
        <vertical/>
        <horizontal style="thin">
          <color rgb="FF23404A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D5E0E3"/>
        <name val="Segoe UI"/>
        <family val="2"/>
        <scheme val="none"/>
      </font>
      <fill>
        <patternFill patternType="solid">
          <fgColor indexed="64"/>
          <bgColor rgb="FF332D17"/>
        </patternFill>
      </fill>
      <border diagonalUp="0" diagonalDown="0">
        <left/>
        <right/>
        <top style="thin">
          <color rgb="FF23404A"/>
        </top>
        <bottom style="thin">
          <color rgb="FF23404A"/>
        </bottom>
        <vertical/>
        <horizontal style="thin">
          <color rgb="FF23404A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D5E0E3"/>
        <name val="Segoe UI"/>
        <family val="2"/>
        <scheme val="none"/>
      </font>
      <fill>
        <patternFill patternType="solid">
          <fgColor indexed="64"/>
          <bgColor rgb="FF0B171C"/>
        </patternFill>
      </fill>
    </dxf>
    <dxf>
      <border>
        <bottom style="medium">
          <color rgb="FF6FD6C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1F6F7"/>
        <name val="Segoe UI"/>
        <family val="2"/>
        <scheme val="none"/>
      </font>
      <fill>
        <patternFill patternType="solid">
          <fgColor indexed="64"/>
          <bgColor rgb="FF1D3A4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D5E0E3"/>
        <name val="Segoe UI"/>
        <family val="2"/>
        <scheme val="none"/>
      </font>
      <numFmt numFmtId="164" formatCode="&quot;R$ &quot;#,##0.00;\-&quot;R$ &quot;#,##0.00;&quot;-&quot;"/>
      <fill>
        <patternFill patternType="solid">
          <fgColor indexed="64"/>
          <bgColor rgb="FF10242A"/>
        </patternFill>
      </fill>
      <border diagonalUp="0" diagonalDown="0">
        <left/>
        <right/>
        <top style="thin">
          <color rgb="FF23404A"/>
        </top>
        <bottom style="thin">
          <color rgb="FF23404A"/>
        </bottom>
        <vertical/>
        <horizontal style="thin">
          <color rgb="FF23404A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D5E0E3"/>
        <name val="Segoe UI"/>
        <family val="2"/>
        <scheme val="none"/>
      </font>
      <fill>
        <patternFill patternType="solid">
          <fgColor indexed="64"/>
          <bgColor rgb="FF10242A"/>
        </patternFill>
      </fill>
      <border diagonalUp="0" diagonalDown="0">
        <left/>
        <right/>
        <top style="thin">
          <color rgb="FF23404A"/>
        </top>
        <bottom style="thin">
          <color rgb="FF23404A"/>
        </bottom>
        <vertical/>
        <horizontal style="thin">
          <color rgb="FF23404A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D5E0E3"/>
        <name val="Segoe UI"/>
        <family val="2"/>
        <scheme val="none"/>
      </font>
      <numFmt numFmtId="164" formatCode="&quot;R$ &quot;#,##0.00;\-&quot;R$ &quot;#,##0.00;&quot;-&quot;"/>
      <fill>
        <patternFill patternType="solid">
          <fgColor indexed="64"/>
          <bgColor rgb="FF10242A"/>
        </patternFill>
      </fill>
      <border diagonalUp="0" diagonalDown="0">
        <left/>
        <right/>
        <top style="thin">
          <color rgb="FF23404A"/>
        </top>
        <bottom style="thin">
          <color rgb="FF23404A"/>
        </bottom>
        <vertical/>
        <horizontal style="thin">
          <color rgb="FF23404A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D5E0E3"/>
        <name val="Segoe UI"/>
        <family val="2"/>
        <scheme val="none"/>
      </font>
      <numFmt numFmtId="13" formatCode="0%"/>
      <fill>
        <patternFill patternType="solid">
          <fgColor indexed="64"/>
          <bgColor rgb="FF10242A"/>
        </patternFill>
      </fill>
      <border diagonalUp="0" diagonalDown="0">
        <left/>
        <right/>
        <top style="thin">
          <color rgb="FF23404A"/>
        </top>
        <bottom style="thin">
          <color rgb="FF23404A"/>
        </bottom>
        <vertical/>
        <horizontal style="thin">
          <color rgb="FF23404A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D5E0E3"/>
        <name val="Segoe UI"/>
        <family val="2"/>
        <scheme val="none"/>
      </font>
      <numFmt numFmtId="19" formatCode="dd/mm/yyyy"/>
      <fill>
        <patternFill patternType="solid">
          <fgColor indexed="64"/>
          <bgColor rgb="FF332D17"/>
        </patternFill>
      </fill>
      <border diagonalUp="0" diagonalDown="0">
        <left/>
        <right/>
        <top style="thin">
          <color rgb="FF23404A"/>
        </top>
        <bottom style="thin">
          <color rgb="FF23404A"/>
        </bottom>
        <vertical/>
        <horizontal style="thin">
          <color rgb="FF23404A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D5E0E3"/>
        <name val="Segoe UI"/>
        <family val="2"/>
        <scheme val="none"/>
      </font>
      <numFmt numFmtId="164" formatCode="&quot;R$ &quot;#,##0.00;\-&quot;R$ &quot;#,##0.00;&quot;-&quot;"/>
      <fill>
        <patternFill patternType="solid">
          <fgColor indexed="64"/>
          <bgColor rgb="FF332D17"/>
        </patternFill>
      </fill>
      <border diagonalUp="0" diagonalDown="0">
        <left/>
        <right/>
        <top style="thin">
          <color rgb="FF23404A"/>
        </top>
        <bottom style="thin">
          <color rgb="FF23404A"/>
        </bottom>
        <vertical/>
        <horizontal style="thin">
          <color rgb="FF23404A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D5E0E3"/>
        <name val="Segoe UI"/>
        <family val="2"/>
        <scheme val="none"/>
      </font>
      <numFmt numFmtId="164" formatCode="&quot;R$ &quot;#,##0.00;\-&quot;R$ &quot;#,##0.00;&quot;-&quot;"/>
      <fill>
        <patternFill patternType="solid">
          <fgColor indexed="64"/>
          <bgColor rgb="FF332D17"/>
        </patternFill>
      </fill>
      <border diagonalUp="0" diagonalDown="0">
        <left/>
        <right/>
        <top style="thin">
          <color rgb="FF23404A"/>
        </top>
        <bottom style="thin">
          <color rgb="FF23404A"/>
        </bottom>
        <vertical/>
        <horizontal style="thin">
          <color rgb="FF23404A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D5E0E3"/>
        <name val="Segoe UI"/>
        <family val="2"/>
        <scheme val="none"/>
      </font>
      <fill>
        <patternFill patternType="solid">
          <fgColor indexed="64"/>
          <bgColor rgb="FF332D17"/>
        </patternFill>
      </fill>
      <border diagonalUp="0" diagonalDown="0">
        <left/>
        <right/>
        <top style="thin">
          <color rgb="FF23404A"/>
        </top>
        <bottom style="thin">
          <color rgb="FF23404A"/>
        </bottom>
        <vertical/>
        <horizontal style="thin">
          <color rgb="FF23404A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D5E0E3"/>
        <name val="Segoe UI"/>
        <family val="2"/>
        <scheme val="none"/>
      </font>
      <fill>
        <patternFill patternType="solid">
          <fgColor indexed="64"/>
          <bgColor rgb="FF0B171C"/>
        </patternFill>
      </fill>
    </dxf>
    <dxf>
      <border>
        <bottom style="medium">
          <color rgb="FF6FD6C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1F6F7"/>
        <name val="Segoe UI"/>
        <family val="2"/>
        <scheme val="none"/>
      </font>
      <fill>
        <patternFill patternType="solid">
          <fgColor indexed="64"/>
          <bgColor rgb="FF1D3A4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8AA0A8"/>
        <name val="Segoe UI"/>
        <family val="2"/>
        <scheme val="none"/>
      </font>
      <fill>
        <patternFill patternType="solid">
          <fgColor indexed="64"/>
          <bgColor rgb="FF10242A"/>
        </patternFill>
      </fill>
      <border diagonalUp="0" diagonalDown="0">
        <left/>
        <right/>
        <top style="thin">
          <color rgb="FF23404A"/>
        </top>
        <bottom style="thin">
          <color rgb="FF23404A"/>
        </bottom>
        <vertical/>
        <horizontal style="thin">
          <color rgb="FF23404A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D5E0E3"/>
        <name val="Segoe UI"/>
        <family val="2"/>
        <scheme val="none"/>
      </font>
      <numFmt numFmtId="164" formatCode="&quot;R$ &quot;#,##0.00;\-&quot;R$ &quot;#,##0.00;&quot;-&quot;"/>
      <fill>
        <patternFill patternType="solid">
          <fgColor indexed="64"/>
          <bgColor rgb="FF332D17"/>
        </patternFill>
      </fill>
      <border diagonalUp="0" diagonalDown="0">
        <left/>
        <right/>
        <top style="thin">
          <color rgb="FF23404A"/>
        </top>
        <bottom style="thin">
          <color rgb="FF23404A"/>
        </bottom>
        <vertical/>
        <horizontal style="thin">
          <color rgb="FF23404A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D5E0E3"/>
        <name val="Segoe UI"/>
        <family val="2"/>
        <scheme val="none"/>
      </font>
      <fill>
        <patternFill patternType="solid">
          <fgColor indexed="64"/>
          <bgColor rgb="FF332D17"/>
        </patternFill>
      </fill>
      <border diagonalUp="0" diagonalDown="0">
        <left/>
        <right/>
        <top style="thin">
          <color rgb="FF23404A"/>
        </top>
        <bottom style="thin">
          <color rgb="FF23404A"/>
        </bottom>
        <vertical/>
        <horizontal style="thin">
          <color rgb="FF23404A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D5E0E3"/>
        <name val="Segoe UI"/>
        <family val="2"/>
        <scheme val="none"/>
      </font>
      <fill>
        <patternFill patternType="solid">
          <fgColor indexed="64"/>
          <bgColor rgb="FF332D17"/>
        </patternFill>
      </fill>
      <border diagonalUp="0" diagonalDown="0">
        <left/>
        <right/>
        <top style="thin">
          <color rgb="FF23404A"/>
        </top>
        <bottom style="thin">
          <color rgb="FF23404A"/>
        </bottom>
        <vertical/>
        <horizontal style="thin">
          <color rgb="FF23404A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D5E0E3"/>
        <name val="Segoe UI"/>
        <family val="2"/>
        <scheme val="none"/>
      </font>
      <fill>
        <patternFill patternType="solid">
          <fgColor indexed="64"/>
          <bgColor rgb="FF332D17"/>
        </patternFill>
      </fill>
      <border diagonalUp="0" diagonalDown="0">
        <left/>
        <right/>
        <top style="thin">
          <color rgb="FF23404A"/>
        </top>
        <bottom style="thin">
          <color rgb="FF23404A"/>
        </bottom>
        <vertical/>
        <horizontal style="thin">
          <color rgb="FF23404A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D5E0E3"/>
        <name val="Segoe UI"/>
        <family val="2"/>
        <scheme val="none"/>
      </font>
      <fill>
        <patternFill patternType="solid">
          <fgColor indexed="64"/>
          <bgColor rgb="FF0B171C"/>
        </patternFill>
      </fill>
    </dxf>
    <dxf>
      <border>
        <bottom style="medium">
          <color rgb="FF6FD6C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1F6F7"/>
        <name val="Segoe UI"/>
        <family val="2"/>
        <scheme val="none"/>
      </font>
      <fill>
        <patternFill patternType="solid">
          <fgColor indexed="64"/>
          <bgColor rgb="FF1D3A4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D5E0E3"/>
        <name val="Segoe UI"/>
        <family val="2"/>
        <scheme val="none"/>
      </font>
      <numFmt numFmtId="13" formatCode="0%"/>
      <fill>
        <patternFill patternType="solid">
          <fgColor indexed="64"/>
          <bgColor rgb="FF10242A"/>
        </patternFill>
      </fill>
      <border diagonalUp="0" diagonalDown="0">
        <left/>
        <right/>
        <top style="thin">
          <color rgb="FF23404A"/>
        </top>
        <bottom style="thin">
          <color rgb="FF23404A"/>
        </bottom>
        <vertical/>
        <horizontal style="thin">
          <color rgb="FF23404A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D5E0E3"/>
        <name val="Segoe UI"/>
        <family val="2"/>
        <scheme val="none"/>
      </font>
      <numFmt numFmtId="165" formatCode="mmm/yyyy"/>
      <fill>
        <patternFill patternType="solid">
          <fgColor indexed="64"/>
          <bgColor rgb="FF10242A"/>
        </patternFill>
      </fill>
      <border diagonalUp="0" diagonalDown="0">
        <left/>
        <right/>
        <top style="thin">
          <color rgb="FF23404A"/>
        </top>
        <bottom style="thin">
          <color rgb="FF23404A"/>
        </bottom>
        <vertical/>
        <horizontal style="thin">
          <color rgb="FF23404A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D5E0E3"/>
        <name val="Segoe UI"/>
        <family val="2"/>
        <scheme val="none"/>
      </font>
      <numFmt numFmtId="164" formatCode="&quot;R$ &quot;#,##0.00;\-&quot;R$ &quot;#,##0.00;&quot;-&quot;"/>
      <fill>
        <patternFill patternType="solid">
          <fgColor indexed="64"/>
          <bgColor rgb="FF10242A"/>
        </patternFill>
      </fill>
      <border diagonalUp="0" diagonalDown="0">
        <left/>
        <right/>
        <top style="thin">
          <color rgb="FF23404A"/>
        </top>
        <bottom style="thin">
          <color rgb="FF23404A"/>
        </bottom>
        <vertical/>
        <horizontal style="thin">
          <color rgb="FF23404A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D5E0E3"/>
        <name val="Segoe UI"/>
        <family val="2"/>
        <scheme val="none"/>
      </font>
      <numFmt numFmtId="164" formatCode="&quot;R$ &quot;#,##0.00;\-&quot;R$ &quot;#,##0.00;&quot;-&quot;"/>
      <fill>
        <patternFill patternType="solid">
          <fgColor indexed="64"/>
          <bgColor rgb="FF10242A"/>
        </patternFill>
      </fill>
      <border diagonalUp="0" diagonalDown="0">
        <left/>
        <right/>
        <top style="thin">
          <color rgb="FF23404A"/>
        </top>
        <bottom style="thin">
          <color rgb="FF23404A"/>
        </bottom>
        <vertical/>
        <horizontal style="thin">
          <color rgb="FF23404A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D5E0E3"/>
        <name val="Segoe UI"/>
        <family val="2"/>
        <scheme val="none"/>
      </font>
      <numFmt numFmtId="164" formatCode="&quot;R$ &quot;#,##0.00;\-&quot;R$ &quot;#,##0.00;&quot;-&quot;"/>
      <fill>
        <patternFill patternType="solid">
          <fgColor indexed="64"/>
          <bgColor rgb="FF10242A"/>
        </patternFill>
      </fill>
      <border diagonalUp="0" diagonalDown="0">
        <left/>
        <right/>
        <top style="thin">
          <color rgb="FF23404A"/>
        </top>
        <bottom style="thin">
          <color rgb="FF23404A"/>
        </bottom>
        <vertical/>
        <horizontal style="thin">
          <color rgb="FF23404A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D5E0E3"/>
        <name val="Segoe UI"/>
        <family val="2"/>
        <scheme val="none"/>
      </font>
      <numFmt numFmtId="1" formatCode="0"/>
      <fill>
        <patternFill patternType="solid">
          <fgColor indexed="64"/>
          <bgColor rgb="FF10242A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rgb="FF23404A"/>
        </top>
        <bottom style="thin">
          <color rgb="FF23404A"/>
        </bottom>
        <vertical/>
        <horizontal style="thin">
          <color rgb="FF23404A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D5E0E3"/>
        <name val="Segoe UI"/>
        <family val="2"/>
        <scheme val="none"/>
      </font>
      <fill>
        <patternFill patternType="solid">
          <fgColor indexed="64"/>
          <bgColor rgb="FF332D17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rgb="FF23404A"/>
        </top>
        <bottom style="thin">
          <color rgb="FF23404A"/>
        </bottom>
        <vertical/>
        <horizontal style="thin">
          <color rgb="FF23404A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D5E0E3"/>
        <name val="Segoe UI"/>
        <family val="2"/>
        <scheme val="none"/>
      </font>
      <numFmt numFmtId="19" formatCode="dd/mm/yyyy"/>
      <fill>
        <patternFill patternType="solid">
          <fgColor indexed="64"/>
          <bgColor rgb="FF332D17"/>
        </patternFill>
      </fill>
      <border diagonalUp="0" diagonalDown="0">
        <left/>
        <right/>
        <top style="thin">
          <color rgb="FF23404A"/>
        </top>
        <bottom style="thin">
          <color rgb="FF23404A"/>
        </bottom>
        <vertical/>
        <horizontal style="thin">
          <color rgb="FF23404A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D5E0E3"/>
        <name val="Segoe UI"/>
        <family val="2"/>
        <scheme val="none"/>
      </font>
      <numFmt numFmtId="164" formatCode="&quot;R$ &quot;#,##0.00;\-&quot;R$ &quot;#,##0.00;&quot;-&quot;"/>
      <fill>
        <patternFill patternType="solid">
          <fgColor indexed="64"/>
          <bgColor rgb="FF332D17"/>
        </patternFill>
      </fill>
      <border diagonalUp="0" diagonalDown="0">
        <left/>
        <right/>
        <top style="thin">
          <color rgb="FF23404A"/>
        </top>
        <bottom style="thin">
          <color rgb="FF23404A"/>
        </bottom>
        <vertical/>
        <horizontal style="thin">
          <color rgb="FF23404A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D5E0E3"/>
        <name val="Segoe UI"/>
        <family val="2"/>
        <scheme val="none"/>
      </font>
      <fill>
        <patternFill patternType="solid">
          <fgColor indexed="64"/>
          <bgColor rgb="FF332D17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rgb="FF23404A"/>
        </top>
        <bottom style="thin">
          <color rgb="FF23404A"/>
        </bottom>
        <vertical/>
        <horizontal style="thin">
          <color rgb="FF23404A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D5E0E3"/>
        <name val="Segoe UI"/>
        <family val="2"/>
        <scheme val="none"/>
      </font>
      <numFmt numFmtId="14" formatCode="0.00%"/>
      <fill>
        <patternFill patternType="solid">
          <fgColor indexed="64"/>
          <bgColor rgb="FF332D17"/>
        </patternFill>
      </fill>
      <border diagonalUp="0" diagonalDown="0">
        <left/>
        <right/>
        <top style="thin">
          <color rgb="FF23404A"/>
        </top>
        <bottom style="thin">
          <color rgb="FF23404A"/>
        </bottom>
        <vertical/>
        <horizontal style="thin">
          <color rgb="FF23404A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D5E0E3"/>
        <name val="Segoe UI"/>
        <family val="2"/>
        <scheme val="none"/>
      </font>
      <numFmt numFmtId="164" formatCode="&quot;R$ &quot;#,##0.00;\-&quot;R$ &quot;#,##0.00;&quot;-&quot;"/>
      <fill>
        <patternFill patternType="solid">
          <fgColor indexed="64"/>
          <bgColor rgb="FF332D17"/>
        </patternFill>
      </fill>
      <border diagonalUp="0" diagonalDown="0">
        <left/>
        <right/>
        <top style="thin">
          <color rgb="FF23404A"/>
        </top>
        <bottom style="thin">
          <color rgb="FF23404A"/>
        </bottom>
        <vertical/>
        <horizontal style="thin">
          <color rgb="FF23404A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D5E0E3"/>
        <name val="Segoe UI"/>
        <family val="2"/>
        <scheme val="none"/>
      </font>
      <fill>
        <patternFill patternType="solid">
          <fgColor indexed="64"/>
          <bgColor rgb="FF332D17"/>
        </patternFill>
      </fill>
      <border diagonalUp="0" diagonalDown="0">
        <left/>
        <right/>
        <top style="thin">
          <color rgb="FF23404A"/>
        </top>
        <bottom style="thin">
          <color rgb="FF23404A"/>
        </bottom>
        <vertical/>
        <horizontal style="thin">
          <color rgb="FF23404A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D5E0E3"/>
        <name val="Segoe UI"/>
        <family val="2"/>
        <scheme val="none"/>
      </font>
      <fill>
        <patternFill patternType="solid">
          <fgColor indexed="64"/>
          <bgColor rgb="FF332D17"/>
        </patternFill>
      </fill>
      <border diagonalUp="0" diagonalDown="0">
        <left/>
        <right/>
        <top style="thin">
          <color rgb="FF23404A"/>
        </top>
        <bottom style="thin">
          <color rgb="FF23404A"/>
        </bottom>
        <vertical/>
        <horizontal style="thin">
          <color rgb="FF23404A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D5E0E3"/>
        <name val="Segoe UI"/>
        <family val="2"/>
        <scheme val="none"/>
      </font>
      <fill>
        <patternFill patternType="solid">
          <fgColor indexed="64"/>
          <bgColor rgb="FF0B171C"/>
        </patternFill>
      </fill>
    </dxf>
    <dxf>
      <border>
        <bottom style="medium">
          <color rgb="FF6FD6C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1F6F7"/>
        <name val="Segoe UI"/>
        <family val="2"/>
        <scheme val="none"/>
      </font>
      <fill>
        <patternFill patternType="solid">
          <fgColor indexed="64"/>
          <bgColor rgb="FF1D3A44"/>
        </patternFill>
      </fill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D5E0E3"/>
        <name val="Segoe UI"/>
        <family val="2"/>
        <scheme val="none"/>
      </font>
      <numFmt numFmtId="0" formatCode="General"/>
      <fill>
        <patternFill patternType="solid">
          <fgColor indexed="64"/>
          <bgColor rgb="FF10242A"/>
        </patternFill>
      </fill>
      <border diagonalUp="0" diagonalDown="0">
        <left/>
        <right/>
        <top style="thin">
          <color rgb="FF23404A"/>
        </top>
        <bottom style="thin">
          <color rgb="FF23404A"/>
        </bottom>
        <vertical/>
        <horizontal style="thin">
          <color rgb="FF23404A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D5E0E3"/>
        <name val="Segoe UI"/>
        <family val="2"/>
        <scheme val="none"/>
      </font>
      <numFmt numFmtId="164" formatCode="&quot;R$ &quot;#,##0.00;\-&quot;R$ &quot;#,##0.00;&quot;-&quot;"/>
      <fill>
        <patternFill patternType="solid">
          <fgColor indexed="64"/>
          <bgColor rgb="FF10242A"/>
        </patternFill>
      </fill>
      <border diagonalUp="0" diagonalDown="0">
        <left/>
        <right/>
        <top style="thin">
          <color rgb="FF23404A"/>
        </top>
        <bottom style="thin">
          <color rgb="FF23404A"/>
        </bottom>
        <vertical/>
        <horizontal style="thin">
          <color rgb="FF23404A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D5E0E3"/>
        <name val="Segoe UI"/>
        <family val="2"/>
        <scheme val="none"/>
      </font>
      <numFmt numFmtId="164" formatCode="&quot;R$ &quot;#,##0.00;\-&quot;R$ &quot;#,##0.00;&quot;-&quot;"/>
      <fill>
        <patternFill patternType="solid">
          <fgColor indexed="64"/>
          <bgColor rgb="FF10242A"/>
        </patternFill>
      </fill>
      <border diagonalUp="0" diagonalDown="0">
        <left/>
        <right/>
        <top style="thin">
          <color rgb="FF23404A"/>
        </top>
        <bottom style="thin">
          <color rgb="FF23404A"/>
        </bottom>
        <vertical/>
        <horizontal style="thin">
          <color rgb="FF23404A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D5E0E3"/>
        <name val="Segoe UI"/>
        <family val="2"/>
        <scheme val="none"/>
      </font>
      <numFmt numFmtId="0" formatCode="General"/>
      <fill>
        <patternFill patternType="solid">
          <fgColor indexed="64"/>
          <bgColor rgb="FF10242A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rgb="FF23404A"/>
        </top>
        <bottom style="thin">
          <color rgb="FF23404A"/>
        </bottom>
        <vertical/>
        <horizontal style="thin">
          <color rgb="FF23404A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D5E0E3"/>
        <name val="Segoe UI"/>
        <family val="2"/>
        <scheme val="none"/>
      </font>
      <numFmt numFmtId="165" formatCode="mmm/yyyy"/>
      <fill>
        <patternFill patternType="solid">
          <fgColor indexed="64"/>
          <bgColor rgb="FF10242A"/>
        </patternFill>
      </fill>
      <border diagonalUp="0" diagonalDown="0">
        <left/>
        <right/>
        <top style="thin">
          <color rgb="FF23404A"/>
        </top>
        <bottom style="thin">
          <color rgb="FF23404A"/>
        </bottom>
        <vertical/>
        <horizontal style="thin">
          <color rgb="FF23404A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D5E0E3"/>
        <name val="Segoe UI"/>
        <family val="2"/>
        <scheme val="none"/>
      </font>
      <numFmt numFmtId="165" formatCode="mmm/yyyy"/>
      <fill>
        <patternFill patternType="solid">
          <fgColor indexed="64"/>
          <bgColor rgb="FF10242A"/>
        </patternFill>
      </fill>
      <border diagonalUp="0" diagonalDown="0">
        <left/>
        <right/>
        <top style="thin">
          <color rgb="FF23404A"/>
        </top>
        <bottom style="thin">
          <color rgb="FF23404A"/>
        </bottom>
        <vertical/>
        <horizontal style="thin">
          <color rgb="FF23404A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D5E0E3"/>
        <name val="Segoe UI"/>
        <family val="2"/>
        <scheme val="none"/>
      </font>
      <numFmt numFmtId="164" formatCode="&quot;R$ &quot;#,##0.00;\-&quot;R$ &quot;#,##0.00;&quot;-&quot;"/>
      <fill>
        <patternFill patternType="solid">
          <fgColor indexed="64"/>
          <bgColor rgb="FF10242A"/>
        </patternFill>
      </fill>
      <border diagonalUp="0" diagonalDown="0">
        <left/>
        <right/>
        <top style="thin">
          <color rgb="FF23404A"/>
        </top>
        <bottom style="thin">
          <color rgb="FF23404A"/>
        </bottom>
        <vertical/>
        <horizontal style="thin">
          <color rgb="FF23404A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D5E0E3"/>
        <name val="Segoe UI"/>
        <family val="2"/>
        <scheme val="none"/>
      </font>
      <fill>
        <patternFill patternType="solid">
          <fgColor indexed="64"/>
          <bgColor rgb="FF332D17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rgb="FF23404A"/>
        </top>
        <bottom style="thin">
          <color rgb="FF23404A"/>
        </bottom>
        <vertical/>
        <horizontal style="thin">
          <color rgb="FF23404A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D5E0E3"/>
        <name val="Segoe UI"/>
        <family val="2"/>
        <scheme val="none"/>
      </font>
      <numFmt numFmtId="164" formatCode="&quot;R$ &quot;#,##0.00;\-&quot;R$ &quot;#,##0.00;&quot;-&quot;"/>
      <fill>
        <patternFill patternType="solid">
          <fgColor indexed="64"/>
          <bgColor rgb="FF332D17"/>
        </patternFill>
      </fill>
      <border diagonalUp="0" diagonalDown="0">
        <left/>
        <right/>
        <top style="thin">
          <color rgb="FF23404A"/>
        </top>
        <bottom style="thin">
          <color rgb="FF23404A"/>
        </bottom>
        <vertical/>
        <horizontal style="thin">
          <color rgb="FF23404A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D5E0E3"/>
        <name val="Segoe UI"/>
        <family val="2"/>
        <scheme val="none"/>
      </font>
      <fill>
        <patternFill patternType="solid">
          <fgColor indexed="64"/>
          <bgColor rgb="FF332D17"/>
        </patternFill>
      </fill>
      <border diagonalUp="0" diagonalDown="0">
        <left/>
        <right/>
        <top style="thin">
          <color rgb="FF23404A"/>
        </top>
        <bottom style="thin">
          <color rgb="FF23404A"/>
        </bottom>
        <vertical/>
        <horizontal style="thin">
          <color rgb="FF23404A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D5E0E3"/>
        <name val="Segoe UI"/>
        <family val="2"/>
        <scheme val="none"/>
      </font>
      <fill>
        <patternFill patternType="solid">
          <fgColor indexed="64"/>
          <bgColor rgb="FF332D17"/>
        </patternFill>
      </fill>
      <border diagonalUp="0" diagonalDown="0">
        <left/>
        <right/>
        <top style="thin">
          <color rgb="FF23404A"/>
        </top>
        <bottom style="thin">
          <color rgb="FF23404A"/>
        </bottom>
        <vertical/>
        <horizontal style="thin">
          <color rgb="FF23404A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D5E0E3"/>
        <name val="Segoe UI"/>
        <family val="2"/>
        <scheme val="none"/>
      </font>
      <fill>
        <patternFill patternType="solid">
          <fgColor indexed="64"/>
          <bgColor rgb="FF332D17"/>
        </patternFill>
      </fill>
      <border diagonalUp="0" diagonalDown="0">
        <left/>
        <right/>
        <top style="thin">
          <color rgb="FF23404A"/>
        </top>
        <bottom style="thin">
          <color rgb="FF23404A"/>
        </bottom>
        <vertical/>
        <horizontal style="thin">
          <color rgb="FF23404A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D5E0E3"/>
        <name val="Segoe UI"/>
        <family val="2"/>
        <scheme val="none"/>
      </font>
      <numFmt numFmtId="19" formatCode="dd/mm/yyyy"/>
      <fill>
        <patternFill patternType="solid">
          <fgColor indexed="64"/>
          <bgColor rgb="FF332D17"/>
        </patternFill>
      </fill>
      <border diagonalUp="0" diagonalDown="0">
        <left/>
        <right/>
        <top style="thin">
          <color rgb="FF23404A"/>
        </top>
        <bottom style="thin">
          <color rgb="FF23404A"/>
        </bottom>
        <vertical/>
        <horizontal style="thin">
          <color rgb="FF23404A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D5E0E3"/>
        <name val="Segoe UI"/>
        <family val="2"/>
        <scheme val="none"/>
      </font>
      <fill>
        <patternFill patternType="solid">
          <fgColor indexed="64"/>
          <bgColor rgb="FF0B171C"/>
        </patternFill>
      </fill>
    </dxf>
    <dxf>
      <border>
        <bottom style="medium">
          <color rgb="FF6FD6C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1F6F7"/>
        <name val="Segoe UI"/>
        <family val="2"/>
        <scheme val="none"/>
      </font>
      <fill>
        <patternFill patternType="solid">
          <fgColor indexed="64"/>
          <bgColor rgb="FF1D3A4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D5E0E3"/>
        <name val="Segoe UI"/>
        <family val="2"/>
        <scheme val="none"/>
      </font>
      <numFmt numFmtId="169" formatCode="&quot;R$ &quot;#,##0;\-&quot;R$ &quot;#,##0;&quot;-&quot;"/>
      <fill>
        <patternFill patternType="solid">
          <fgColor indexed="64"/>
          <bgColor rgb="FF332D17"/>
        </patternFill>
      </fill>
      <border diagonalUp="0" diagonalDown="0">
        <left/>
        <right/>
        <top style="thin">
          <color rgb="FF23404A"/>
        </top>
        <bottom style="thin">
          <color rgb="FF23404A"/>
        </bottom>
        <vertical/>
        <horizontal style="thin">
          <color rgb="FF23404A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D5E0E3"/>
        <name val="Segoe UI"/>
        <family val="2"/>
        <scheme val="none"/>
      </font>
      <fill>
        <patternFill patternType="solid">
          <fgColor indexed="64"/>
          <bgColor rgb="FF332D17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rgb="FF23404A"/>
        </top>
        <bottom style="thin">
          <color rgb="FF23404A"/>
        </bottom>
        <vertical/>
        <horizontal style="thin">
          <color rgb="FF23404A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D5E0E3"/>
        <name val="Segoe UI"/>
        <family val="2"/>
        <scheme val="none"/>
      </font>
      <fill>
        <patternFill patternType="solid">
          <fgColor indexed="64"/>
          <bgColor rgb="FF332D17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rgb="FF23404A"/>
        </top>
        <bottom style="thin">
          <color rgb="FF23404A"/>
        </bottom>
        <vertical/>
        <horizontal style="thin">
          <color rgb="FF23404A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D5E0E3"/>
        <name val="Segoe UI"/>
        <family val="2"/>
        <scheme val="none"/>
      </font>
      <fill>
        <patternFill patternType="solid">
          <fgColor indexed="64"/>
          <bgColor rgb="FF332D17"/>
        </patternFill>
      </fill>
      <border diagonalUp="0" diagonalDown="0">
        <left/>
        <right/>
        <top style="thin">
          <color rgb="FF23404A"/>
        </top>
        <bottom style="thin">
          <color rgb="FF23404A"/>
        </bottom>
        <vertical/>
        <horizontal style="thin">
          <color rgb="FF23404A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D5E0E3"/>
        <name val="Segoe UI"/>
        <family val="2"/>
        <scheme val="none"/>
      </font>
      <fill>
        <patternFill patternType="solid">
          <fgColor indexed="64"/>
          <bgColor rgb="FF332D17"/>
        </patternFill>
      </fill>
    </dxf>
    <dxf>
      <border>
        <bottom style="medium">
          <color rgb="FF6FD6C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1F6F7"/>
        <name val="Segoe UI"/>
        <family val="2"/>
        <scheme val="none"/>
      </font>
      <fill>
        <patternFill patternType="solid">
          <fgColor indexed="64"/>
          <bgColor rgb="FF1D3A44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D5E0E3"/>
        <name val="Segoe UI"/>
        <family val="2"/>
        <scheme val="none"/>
      </font>
      <fill>
        <patternFill patternType="solid">
          <fgColor indexed="64"/>
          <bgColor rgb="FF10242A"/>
        </patternFill>
      </fill>
      <border diagonalUp="0" diagonalDown="0">
        <left/>
        <right/>
        <top style="thin">
          <color rgb="FF23404A"/>
        </top>
        <bottom style="thin">
          <color rgb="FF23404A"/>
        </bottom>
        <vertical/>
        <horizontal style="thin">
          <color rgb="FF23404A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D5E0E3"/>
        <name val="Segoe UI"/>
        <family val="2"/>
        <scheme val="none"/>
      </font>
      <numFmt numFmtId="164" formatCode="&quot;R$ &quot;#,##0.00;\-&quot;R$ &quot;#,##0.00;&quot;-&quot;"/>
      <fill>
        <patternFill patternType="solid">
          <fgColor indexed="64"/>
          <bgColor rgb="FF10242A"/>
        </patternFill>
      </fill>
      <border diagonalUp="0" diagonalDown="0">
        <left/>
        <right/>
        <top style="thin">
          <color rgb="FF23404A"/>
        </top>
        <bottom style="thin">
          <color rgb="FF23404A"/>
        </bottom>
        <vertical/>
        <horizontal style="thin">
          <color rgb="FF23404A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D5E0E3"/>
        <name val="Segoe UI"/>
        <family val="2"/>
        <scheme val="none"/>
      </font>
      <numFmt numFmtId="175" formatCode="dd/mm"/>
      <fill>
        <patternFill patternType="solid">
          <fgColor indexed="64"/>
          <bgColor rgb="FF10242A"/>
        </patternFill>
      </fill>
      <border diagonalUp="0" diagonalDown="0">
        <left/>
        <right/>
        <top style="thin">
          <color rgb="FF23404A"/>
        </top>
        <bottom style="thin">
          <color rgb="FF23404A"/>
        </bottom>
        <vertical/>
        <horizontal style="thin">
          <color rgb="FF23404A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D5E0E3"/>
        <name val="Segoe UI"/>
        <family val="2"/>
        <scheme val="none"/>
      </font>
      <fill>
        <patternFill patternType="solid">
          <fgColor indexed="64"/>
          <bgColor rgb="FF332D17"/>
        </patternFill>
      </fill>
      <border diagonalUp="0" diagonalDown="0">
        <left/>
        <right/>
        <top style="thin">
          <color rgb="FF23404A"/>
        </top>
        <bottom style="thin">
          <color rgb="FF23404A"/>
        </bottom>
        <vertical/>
        <horizontal style="thin">
          <color rgb="FF23404A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D5E0E3"/>
        <name val="Segoe UI"/>
        <family val="2"/>
        <scheme val="none"/>
      </font>
      <fill>
        <patternFill patternType="solid">
          <fgColor indexed="64"/>
          <bgColor rgb="FF332D17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rgb="FF23404A"/>
        </top>
        <bottom style="thin">
          <color rgb="FF23404A"/>
        </bottom>
        <vertical/>
        <horizontal style="thin">
          <color rgb="FF23404A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D5E0E3"/>
        <name val="Segoe UI"/>
        <family val="2"/>
        <scheme val="none"/>
      </font>
      <numFmt numFmtId="164" formatCode="&quot;R$ &quot;#,##0.00;\-&quot;R$ &quot;#,##0.00;&quot;-&quot;"/>
      <fill>
        <patternFill patternType="solid">
          <fgColor indexed="64"/>
          <bgColor rgb="FF332D17"/>
        </patternFill>
      </fill>
      <border diagonalUp="0" diagonalDown="0">
        <left/>
        <right/>
        <top style="thin">
          <color rgb="FF23404A"/>
        </top>
        <bottom style="thin">
          <color rgb="FF23404A"/>
        </bottom>
        <vertical/>
        <horizontal style="thin">
          <color rgb="FF23404A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D5E0E3"/>
        <name val="Segoe UI"/>
        <family val="2"/>
        <scheme val="none"/>
      </font>
      <fill>
        <patternFill patternType="solid">
          <fgColor indexed="64"/>
          <bgColor rgb="FF332D17"/>
        </patternFill>
      </fill>
      <border diagonalUp="0" diagonalDown="0">
        <left/>
        <right/>
        <top style="thin">
          <color rgb="FF23404A"/>
        </top>
        <bottom style="thin">
          <color rgb="FF23404A"/>
        </bottom>
        <vertical/>
        <horizontal style="thin">
          <color rgb="FF23404A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D5E0E3"/>
        <name val="Segoe UI"/>
        <family val="2"/>
        <scheme val="none"/>
      </font>
      <fill>
        <patternFill patternType="solid">
          <fgColor indexed="64"/>
          <bgColor rgb="FF332D17"/>
        </patternFill>
      </fill>
      <border diagonalUp="0" diagonalDown="0">
        <left/>
        <right/>
        <top style="thin">
          <color rgb="FF23404A"/>
        </top>
        <bottom style="thin">
          <color rgb="FF23404A"/>
        </bottom>
        <vertical/>
        <horizontal style="thin">
          <color rgb="FF23404A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D5E0E3"/>
        <name val="Segoe UI"/>
        <family val="2"/>
        <scheme val="none"/>
      </font>
      <fill>
        <patternFill patternType="solid">
          <fgColor indexed="64"/>
          <bgColor rgb="FF0B171C"/>
        </patternFill>
      </fill>
    </dxf>
    <dxf>
      <border>
        <bottom style="medium">
          <color rgb="FF6FD6C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1F6F7"/>
        <name val="Segoe UI"/>
        <family val="2"/>
        <scheme val="none"/>
      </font>
      <fill>
        <patternFill patternType="solid">
          <fgColor indexed="64"/>
          <bgColor rgb="FF1D3A44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8AA0A8"/>
        <name val="Segoe UI"/>
        <family val="2"/>
        <scheme val="none"/>
      </font>
      <numFmt numFmtId="165" formatCode="mmm/yyyy"/>
      <fill>
        <patternFill patternType="solid">
          <fgColor indexed="64"/>
          <bgColor rgb="FF10242A"/>
        </patternFill>
      </fill>
      <border diagonalUp="0" diagonalDown="0">
        <left/>
        <right/>
        <top style="thin">
          <color rgb="FF23404A"/>
        </top>
        <bottom style="thin">
          <color rgb="FF23404A"/>
        </bottom>
        <vertical/>
        <horizontal style="thin">
          <color rgb="FF23404A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8AA0A8"/>
        <name val="Segoe UI"/>
        <family val="2"/>
        <scheme val="none"/>
      </font>
      <fill>
        <patternFill patternType="solid">
          <fgColor indexed="64"/>
          <bgColor rgb="FF10242A"/>
        </patternFill>
      </fill>
      <border diagonalUp="0" diagonalDown="0">
        <left/>
        <right/>
        <top style="thin">
          <color rgb="FF23404A"/>
        </top>
        <bottom style="thin">
          <color rgb="FF23404A"/>
        </bottom>
        <vertical/>
        <horizontal style="thin">
          <color rgb="FF23404A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8AA0A8"/>
        <name val="Segoe UI"/>
        <family val="2"/>
        <scheme val="none"/>
      </font>
      <fill>
        <patternFill patternType="solid">
          <fgColor indexed="64"/>
          <bgColor rgb="FF10242A"/>
        </patternFill>
      </fill>
      <border diagonalUp="0" diagonalDown="0">
        <left/>
        <right/>
        <top style="thin">
          <color rgb="FF23404A"/>
        </top>
        <bottom style="thin">
          <color rgb="FF23404A"/>
        </bottom>
        <vertical/>
        <horizontal style="thin">
          <color rgb="FF23404A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D5E0E3"/>
        <name val="Segoe UI"/>
        <family val="2"/>
        <scheme val="none"/>
      </font>
      <fill>
        <patternFill patternType="solid">
          <fgColor indexed="64"/>
          <bgColor rgb="FF0B171C"/>
        </patternFill>
      </fill>
      <border diagonalUp="0" diagonalDown="0">
        <left/>
        <right/>
        <top style="thin">
          <color rgb="FF23404A"/>
        </top>
        <bottom style="thin">
          <color rgb="FF23404A"/>
        </bottom>
        <vertical/>
        <horizontal style="thin">
          <color rgb="FF23404A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D5E0E3"/>
        <name val="Segoe UI"/>
        <family val="2"/>
        <scheme val="none"/>
      </font>
      <numFmt numFmtId="164" formatCode="&quot;R$ &quot;#,##0.00;\-&quot;R$ &quot;#,##0.00;&quot;-&quot;"/>
      <fill>
        <patternFill patternType="solid">
          <fgColor indexed="64"/>
          <bgColor rgb="FF0B171C"/>
        </patternFill>
      </fill>
      <border diagonalUp="0" diagonalDown="0">
        <left/>
        <right/>
        <top style="thin">
          <color rgb="FF23404A"/>
        </top>
        <bottom style="thin">
          <color rgb="FF23404A"/>
        </bottom>
        <vertical/>
        <horizontal style="thin">
          <color rgb="FF23404A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D5E0E3"/>
        <name val="Segoe UI"/>
        <family val="2"/>
        <scheme val="none"/>
      </font>
      <fill>
        <patternFill patternType="solid">
          <fgColor indexed="64"/>
          <bgColor rgb="FF0B171C"/>
        </patternFill>
      </fill>
      <border diagonalUp="0" diagonalDown="0">
        <left/>
        <right/>
        <top style="thin">
          <color rgb="FF23404A"/>
        </top>
        <bottom style="thin">
          <color rgb="FF23404A"/>
        </bottom>
        <vertical/>
        <horizontal style="thin">
          <color rgb="FF23404A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D5E0E3"/>
        <name val="Segoe UI"/>
        <family val="2"/>
        <scheme val="none"/>
      </font>
      <fill>
        <patternFill patternType="solid">
          <fgColor indexed="64"/>
          <bgColor rgb="FF0B171C"/>
        </patternFill>
      </fill>
      <border diagonalUp="0" diagonalDown="0">
        <left/>
        <right/>
        <top style="thin">
          <color rgb="FF23404A"/>
        </top>
        <bottom style="thin">
          <color rgb="FF23404A"/>
        </bottom>
        <vertical/>
        <horizontal style="thin">
          <color rgb="FF23404A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D5E0E3"/>
        <name val="Segoe UI"/>
        <family val="2"/>
        <scheme val="none"/>
      </font>
      <numFmt numFmtId="19" formatCode="dd/mm/yyyy"/>
      <fill>
        <patternFill patternType="solid">
          <fgColor indexed="64"/>
          <bgColor rgb="FF0B171C"/>
        </patternFill>
      </fill>
      <border diagonalUp="0" diagonalDown="0">
        <left/>
        <right/>
        <top style="thin">
          <color rgb="FF23404A"/>
        </top>
        <bottom style="thin">
          <color rgb="FF23404A"/>
        </bottom>
        <vertical/>
        <horizontal style="thin">
          <color rgb="FF23404A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D5E0E3"/>
        <name val="Segoe UI"/>
        <family val="2"/>
        <scheme val="none"/>
      </font>
      <fill>
        <patternFill patternType="solid">
          <fgColor indexed="64"/>
          <bgColor rgb="FF0B171C"/>
        </patternFill>
      </fill>
    </dxf>
    <dxf>
      <border>
        <bottom style="medium">
          <color rgb="FF6FD6C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1F6F7"/>
        <name val="Segoe UI"/>
        <family val="2"/>
        <scheme val="none"/>
      </font>
      <fill>
        <patternFill patternType="solid">
          <fgColor indexed="64"/>
          <bgColor rgb="FF1D3A4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F1F6F7"/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r>
              <a:rPr lang="pt-BR" sz="1100" b="1">
                <a:solidFill>
                  <a:srgbClr val="F1F6F7"/>
                </a:solidFill>
              </a:rPr>
              <a:t>Para onde foi a renda</a:t>
            </a:r>
          </a:p>
        </c:rich>
      </c:tx>
      <c:layout>
        <c:manualLayout>
          <c:xMode val="edge"/>
          <c:yMode val="edge"/>
          <c:x val="5.3333333333333337E-2"/>
          <c:y val="5.47945205479452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F1F6F7"/>
              </a:solidFill>
              <a:latin typeface="Segoe UI" panose="020B0502040204020203" pitchFamily="34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v>Para onde foi a renda</c:v>
          </c:tx>
          <c:dPt>
            <c:idx val="0"/>
            <c:bubble3D val="0"/>
            <c:spPr>
              <a:solidFill>
                <a:srgbClr val="22B39A"/>
              </a:solidFill>
              <a:ln w="19050">
                <a:solidFill>
                  <a:srgbClr val="12232A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474E-428D-8602-CD125468053B}"/>
              </c:ext>
            </c:extLst>
          </c:dPt>
          <c:dPt>
            <c:idx val="1"/>
            <c:bubble3D val="0"/>
            <c:spPr>
              <a:solidFill>
                <a:srgbClr val="F2B544"/>
              </a:solidFill>
              <a:ln w="19050">
                <a:solidFill>
                  <a:srgbClr val="12232A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74E-428D-8602-CD125468053B}"/>
              </c:ext>
            </c:extLst>
          </c:dPt>
          <c:dPt>
            <c:idx val="2"/>
            <c:bubble3D val="0"/>
            <c:spPr>
              <a:solidFill>
                <a:srgbClr val="5B9BD5"/>
              </a:solidFill>
              <a:ln w="19050">
                <a:solidFill>
                  <a:srgbClr val="12232A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474E-428D-8602-CD125468053B}"/>
              </c:ext>
            </c:extLst>
          </c:dPt>
          <c:dPt>
            <c:idx val="3"/>
            <c:bubble3D val="0"/>
            <c:spPr>
              <a:solidFill>
                <a:srgbClr val="9ADBD2"/>
              </a:solidFill>
              <a:ln w="19050">
                <a:solidFill>
                  <a:srgbClr val="12232A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74E-428D-8602-CD125468053B}"/>
              </c:ext>
            </c:extLst>
          </c:dPt>
          <c:dLbls>
            <c:numFmt formatCode="0%;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rgbClr val="FFFFFF"/>
                    </a:solidFill>
                    <a:latin typeface="Segoe UI" panose="020B0502040204020203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Calc!$B$3:$B$6</c:f>
              <c:strCache>
                <c:ptCount val="4"/>
                <c:pt idx="0">
                  <c:v>Essencial</c:v>
                </c:pt>
                <c:pt idx="1">
                  <c:v>Estilo de vida</c:v>
                </c:pt>
                <c:pt idx="2">
                  <c:v>Investimento</c:v>
                </c:pt>
                <c:pt idx="3">
                  <c:v>Sobrou</c:v>
                </c:pt>
              </c:strCache>
            </c:strRef>
          </c:cat>
          <c:val>
            <c:numRef>
              <c:f>Calc!$C$3:$C$6</c:f>
              <c:numCache>
                <c:formatCode>General</c:formatCode>
                <c:ptCount val="4"/>
                <c:pt idx="0">
                  <c:v>3107.4</c:v>
                </c:pt>
                <c:pt idx="1">
                  <c:v>987.59999999999991</c:v>
                </c:pt>
                <c:pt idx="2">
                  <c:v>851.49</c:v>
                </c:pt>
                <c:pt idx="3">
                  <c:v>853.50999999999954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4E-428D-8602-CD12546805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62"/>
      </c:doughnut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rgbClr val="8AA0A8"/>
              </a:solidFill>
              <a:latin typeface="Segoe UI" panose="020B0502040204020203" pitchFamily="34" charset="0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2232A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>
          <a:solidFill>
            <a:srgbClr val="8AA0A8"/>
          </a:solidFill>
          <a:latin typeface="Segoe UI" panose="020B0502040204020203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F1F6F7"/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r>
              <a:rPr lang="pt-BR" sz="1100" b="1">
                <a:solidFill>
                  <a:srgbClr val="F1F6F7"/>
                </a:solidFill>
              </a:rPr>
              <a:t>Formas de pagamento</a:t>
            </a:r>
          </a:p>
        </c:rich>
      </c:tx>
      <c:layout>
        <c:manualLayout>
          <c:xMode val="edge"/>
          <c:yMode val="edge"/>
          <c:x val="5.3333333333333337E-2"/>
          <c:y val="5.47945205479452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F1F6F7"/>
              </a:solidFill>
              <a:latin typeface="Segoe UI" panose="020B0502040204020203" pitchFamily="34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v>Formas de pagamento</c:v>
          </c:tx>
          <c:dPt>
            <c:idx val="0"/>
            <c:bubble3D val="0"/>
            <c:spPr>
              <a:solidFill>
                <a:srgbClr val="6FD6C8"/>
              </a:solidFill>
              <a:ln w="19050">
                <a:solidFill>
                  <a:srgbClr val="12232A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3D60-456F-BB48-63329FD04652}"/>
              </c:ext>
            </c:extLst>
          </c:dPt>
          <c:dPt>
            <c:idx val="1"/>
            <c:bubble3D val="0"/>
            <c:spPr>
              <a:solidFill>
                <a:srgbClr val="22B39A"/>
              </a:solidFill>
              <a:ln w="19050">
                <a:solidFill>
                  <a:srgbClr val="12232A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D60-456F-BB48-63329FD04652}"/>
              </c:ext>
            </c:extLst>
          </c:dPt>
          <c:dPt>
            <c:idx val="2"/>
            <c:bubble3D val="0"/>
            <c:spPr>
              <a:solidFill>
                <a:srgbClr val="5B9BD5"/>
              </a:solidFill>
              <a:ln w="19050">
                <a:solidFill>
                  <a:srgbClr val="12232A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3D60-456F-BB48-63329FD04652}"/>
              </c:ext>
            </c:extLst>
          </c:dPt>
          <c:dPt>
            <c:idx val="3"/>
            <c:bubble3D val="0"/>
            <c:spPr>
              <a:solidFill>
                <a:srgbClr val="F2B544"/>
              </a:solidFill>
              <a:ln w="19050">
                <a:solidFill>
                  <a:srgbClr val="12232A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D60-456F-BB48-63329FD04652}"/>
              </c:ext>
            </c:extLst>
          </c:dPt>
          <c:dPt>
            <c:idx val="4"/>
            <c:bubble3D val="0"/>
            <c:spPr>
              <a:solidFill>
                <a:srgbClr val="7E9299"/>
              </a:solidFill>
              <a:ln w="19050">
                <a:solidFill>
                  <a:srgbClr val="12232A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3D60-456F-BB48-63329FD04652}"/>
              </c:ext>
            </c:extLst>
          </c:dPt>
          <c:dLbls>
            <c:numFmt formatCode="0%;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rgbClr val="FFFFFF"/>
                    </a:solidFill>
                    <a:latin typeface="Segoe UI" panose="020B0502040204020203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Calc!$B$10:$B$14</c:f>
              <c:strCache>
                <c:ptCount val="5"/>
                <c:pt idx="0">
                  <c:v>Pix</c:v>
                </c:pt>
                <c:pt idx="1">
                  <c:v>Cartão de crédito</c:v>
                </c:pt>
                <c:pt idx="2">
                  <c:v>Débito</c:v>
                </c:pt>
                <c:pt idx="3">
                  <c:v>Boleto</c:v>
                </c:pt>
                <c:pt idx="4">
                  <c:v>Dinheiro</c:v>
                </c:pt>
              </c:strCache>
            </c:strRef>
          </c:cat>
          <c:val>
            <c:numRef>
              <c:f>Calc!$C$10:$C$14</c:f>
              <c:numCache>
                <c:formatCode>General</c:formatCode>
                <c:ptCount val="5"/>
                <c:pt idx="0">
                  <c:v>1290.02</c:v>
                </c:pt>
                <c:pt idx="1">
                  <c:v>1738.2400000000005</c:v>
                </c:pt>
                <c:pt idx="2">
                  <c:v>310.26000000000005</c:v>
                </c:pt>
                <c:pt idx="3">
                  <c:v>1505.15</c:v>
                </c:pt>
                <c:pt idx="4">
                  <c:v>102.82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60-456F-BB48-63329FD046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62"/>
      </c:doughnut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rgbClr val="8AA0A8"/>
              </a:solidFill>
              <a:latin typeface="Segoe UI" panose="020B0502040204020203" pitchFamily="34" charset="0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2232A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>
          <a:solidFill>
            <a:srgbClr val="8AA0A8"/>
          </a:solidFill>
          <a:latin typeface="Segoe UI" panose="020B0502040204020203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F1F6F7"/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r>
              <a:rPr lang="pt-BR" sz="1100" b="1">
                <a:solidFill>
                  <a:srgbClr val="F1F6F7"/>
                </a:solidFill>
              </a:rPr>
              <a:t>Taxa de poupança</a:t>
            </a:r>
          </a:p>
        </c:rich>
      </c:tx>
      <c:layout>
        <c:manualLayout>
          <c:xMode val="edge"/>
          <c:yMode val="edge"/>
          <c:x val="5.3333333333333337E-2"/>
          <c:y val="5.47945205479452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F1F6F7"/>
              </a:solidFill>
              <a:latin typeface="Segoe UI" panose="020B0502040204020203" pitchFamily="34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310501312335958"/>
          <c:y val="0.17351598173515981"/>
          <c:w val="0.70333333333333337"/>
          <c:h val="0.82648401826484019"/>
        </c:manualLayout>
      </c:layout>
      <c:doughnutChart>
        <c:varyColors val="1"/>
        <c:ser>
          <c:idx val="0"/>
          <c:order val="0"/>
          <c:tx>
            <c:v>Taxa</c:v>
          </c:tx>
          <c:dPt>
            <c:idx val="0"/>
            <c:bubble3D val="0"/>
            <c:spPr>
              <a:solidFill>
                <a:srgbClr val="22B39A"/>
              </a:solidFill>
              <a:ln w="19050">
                <a:noFill/>
              </a:ln>
              <a:effectLst/>
              <a:extLst>
                <a:ext uri="{91240B29-F687-4F45-9708-019B960494DF}">
                  <a14:hiddenLine xmlns:a14="http://schemas.microsoft.com/office/drawing/2010/main" w="19050">
                    <a:solidFill>
                      <a:sysClr val="window" lastClr="FFFFFF"/>
                    </a:solidFill>
                  </a14:hiddenLine>
                </a:ext>
              </a:extLst>
            </c:spPr>
            <c:extLst>
              <c:ext xmlns:c16="http://schemas.microsoft.com/office/drawing/2014/chart" uri="{C3380CC4-5D6E-409C-BE32-E72D297353CC}">
                <c16:uniqueId val="{00000002-F599-45EF-9111-0E36B110B810}"/>
              </c:ext>
            </c:extLst>
          </c:dPt>
          <c:dPt>
            <c:idx val="1"/>
            <c:bubble3D val="0"/>
            <c:spPr>
              <a:solidFill>
                <a:srgbClr val="23404A"/>
              </a:solidFill>
              <a:ln w="19050">
                <a:noFill/>
              </a:ln>
              <a:effectLst/>
              <a:extLst>
                <a:ext uri="{91240B29-F687-4F45-9708-019B960494DF}">
                  <a14:hiddenLine xmlns:a14="http://schemas.microsoft.com/office/drawing/2010/main" w="19050">
                    <a:solidFill>
                      <a:sysClr val="window" lastClr="FFFFFF"/>
                    </a:solidFill>
                  </a14:hiddenLine>
                </a:ext>
              </a:extLst>
            </c:spPr>
            <c:extLst>
              <c:ext xmlns:c16="http://schemas.microsoft.com/office/drawing/2014/chart" uri="{C3380CC4-5D6E-409C-BE32-E72D297353CC}">
                <c16:uniqueId val="{00000003-F599-45EF-9111-0E36B110B810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  <a:extLst>
                <a:ext uri="{909E8E84-426E-40DD-AFC4-6F175D3DCCD1}">
                  <a14:hiddenFill xmlns:a14="http://schemas.microsoft.com/office/drawing/2010/main">
                    <a:solidFill>
                      <a:srgbClr val="196B24"/>
                    </a:solidFill>
                  </a14:hiddenFill>
                </a:ext>
                <a:ext uri="{91240B29-F687-4F45-9708-019B960494DF}">
                  <a14:hiddenLine xmlns:a14="http://schemas.microsoft.com/office/drawing/2010/main" w="19050">
                    <a:solidFill>
                      <a:sysClr val="window" lastClr="FFFFFF"/>
                    </a:solidFill>
                  </a14:hiddenLine>
                </a:ext>
              </a:extLst>
            </c:spPr>
            <c:extLst>
              <c:ext xmlns:c16="http://schemas.microsoft.com/office/drawing/2014/chart" uri="{C3380CC4-5D6E-409C-BE32-E72D297353CC}">
                <c16:uniqueId val="{00000004-F599-45EF-9111-0E36B110B810}"/>
              </c:ext>
            </c:extLst>
          </c:dPt>
          <c:cat>
            <c:strRef>
              <c:f>Calc!$B$17:$B$19</c:f>
              <c:strCache>
                <c:ptCount val="3"/>
                <c:pt idx="0">
                  <c:v>Guardado</c:v>
                </c:pt>
                <c:pt idx="1">
                  <c:v>Resto</c:v>
                </c:pt>
                <c:pt idx="2">
                  <c:v>Metade oculta</c:v>
                </c:pt>
              </c:strCache>
            </c:strRef>
          </c:cat>
          <c:val>
            <c:numRef>
              <c:f>Calc!$C$17:$C$19</c:f>
              <c:numCache>
                <c:formatCode>General</c:formatCode>
                <c:ptCount val="3"/>
                <c:pt idx="0">
                  <c:v>0.29396551724137926</c:v>
                </c:pt>
                <c:pt idx="1">
                  <c:v>0.70603448275862069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99-45EF-9111-0E36B110B8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65"/>
      </c:doughnut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2232A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>
          <a:solidFill>
            <a:srgbClr val="8AA0A8"/>
          </a:solidFill>
          <a:latin typeface="Segoe UI" panose="020B0502040204020203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F1F6F7"/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r>
              <a:rPr lang="pt-BR" sz="1100" b="1">
                <a:solidFill>
                  <a:srgbClr val="F1F6F7"/>
                </a:solidFill>
              </a:rPr>
              <a:t>Gasto por categoria</a:t>
            </a:r>
          </a:p>
        </c:rich>
      </c:tx>
      <c:layout>
        <c:manualLayout>
          <c:xMode val="edge"/>
          <c:yMode val="edge"/>
          <c:x val="3.3085194375516956E-2"/>
          <c:y val="4.19287211740041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F1F6F7"/>
              </a:solidFill>
              <a:latin typeface="Segoe UI" panose="020B0502040204020203" pitchFamily="34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Gasto</c:v>
          </c:tx>
          <c:spPr>
            <a:solidFill>
              <a:srgbClr val="22B39A"/>
            </a:solidFill>
            <a:ln>
              <a:solidFill>
                <a:srgbClr val="22B39A"/>
              </a:solidFill>
            </a:ln>
            <a:effectLst/>
          </c:spPr>
          <c:invertIfNegative val="0"/>
          <c:dLbls>
            <c:numFmt formatCode="&quot;R$ &quot;#,##0;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rgbClr val="8AA0A8"/>
                    </a:solidFill>
                    <a:latin typeface="Segoe UI" panose="020B0502040204020203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Painel!$B$29:$B$43</c:f>
              <c:strCache>
                <c:ptCount val="12"/>
                <c:pt idx="0">
                  <c:v>Moradia</c:v>
                </c:pt>
                <c:pt idx="1">
                  <c:v>Contas da casa</c:v>
                </c:pt>
                <c:pt idx="2">
                  <c:v>Mercado</c:v>
                </c:pt>
                <c:pt idx="3">
                  <c:v>Transporte</c:v>
                </c:pt>
                <c:pt idx="4">
                  <c:v>Saúde</c:v>
                </c:pt>
                <c:pt idx="5">
                  <c:v>Educação</c:v>
                </c:pt>
                <c:pt idx="6">
                  <c:v>Restaurantes e delivery</c:v>
                </c:pt>
                <c:pt idx="7">
                  <c:v>Lazer</c:v>
                </c:pt>
                <c:pt idx="8">
                  <c:v>Assinaturas</c:v>
                </c:pt>
                <c:pt idx="9">
                  <c:v>Compras</c:v>
                </c:pt>
                <c:pt idx="10">
                  <c:v>Outros</c:v>
                </c:pt>
                <c:pt idx="11">
                  <c:v>Investimentos</c:v>
                </c:pt>
              </c:strCache>
            </c:strRef>
          </c:cat>
          <c:val>
            <c:numRef>
              <c:f>Painel!$E$29:$E$43</c:f>
              <c:numCache>
                <c:formatCode>"R$ "#,##0;\-"R$ "#,##0;"-"</c:formatCode>
                <c:ptCount val="15"/>
                <c:pt idx="0">
                  <c:v>1200</c:v>
                </c:pt>
                <c:pt idx="1">
                  <c:v>395.04999999999995</c:v>
                </c:pt>
                <c:pt idx="2">
                  <c:v>908.6</c:v>
                </c:pt>
                <c:pt idx="3">
                  <c:v>314.62</c:v>
                </c:pt>
                <c:pt idx="4">
                  <c:v>209.23000000000002</c:v>
                </c:pt>
                <c:pt idx="5">
                  <c:v>79.900000000000006</c:v>
                </c:pt>
                <c:pt idx="6">
                  <c:v>206.14000000000001</c:v>
                </c:pt>
                <c:pt idx="7">
                  <c:v>178.11</c:v>
                </c:pt>
                <c:pt idx="8">
                  <c:v>66.8</c:v>
                </c:pt>
                <c:pt idx="9">
                  <c:v>406.92</c:v>
                </c:pt>
                <c:pt idx="10">
                  <c:v>129.63</c:v>
                </c:pt>
                <c:pt idx="11">
                  <c:v>851.49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A8-4293-97EA-E5453DD728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axId val="578158464"/>
        <c:axId val="578153424"/>
      </c:barChart>
      <c:catAx>
        <c:axId val="57815846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  <a:extLst>
            <a:ext uri="{91240B29-F687-4F45-9708-019B960494DF}">
              <a14:hiddenLine xmlns:a14="http://schemas.microsoft.com/office/drawing/2010/main" w="9525" cap="flat" cmpd="sng" algn="ctr">
                <a:solidFill>
                  <a:sysClr val="windowText" lastClr="000000">
                    <a:lumMod val="15000"/>
                    <a:lumOff val="85000"/>
                  </a:sysClr>
                </a:solidFill>
                <a:round/>
              </a14:hiddenLine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8AA0A8"/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endParaRPr lang="pt-BR"/>
          </a:p>
        </c:txPr>
        <c:crossAx val="578153424"/>
        <c:crosses val="autoZero"/>
        <c:auto val="1"/>
        <c:lblAlgn val="ctr"/>
        <c:lblOffset val="100"/>
        <c:noMultiLvlLbl val="0"/>
      </c:catAx>
      <c:valAx>
        <c:axId val="578153424"/>
        <c:scaling>
          <c:orientation val="minMax"/>
        </c:scaling>
        <c:delete val="0"/>
        <c:axPos val="t"/>
        <c:numFmt formatCode="&quot;R$ &quot;#,##0;\-&quot;R$ &quot;#,##0;&quot;-&quot;" sourceLinked="1"/>
        <c:majorTickMark val="none"/>
        <c:minorTickMark val="none"/>
        <c:tickLblPos val="none"/>
        <c:spPr>
          <a:noFill/>
          <a:ln>
            <a:noFill/>
          </a:ln>
          <a:effectLst/>
          <a:extLst>
            <a:ext uri="{91240B29-F687-4F45-9708-019B960494DF}">
              <a14:hiddenLine xmlns:a14="http://schemas.microsoft.com/office/drawing/2010/main">
                <a:noFill/>
              </a14:hiddenLine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8AA0A8"/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endParaRPr lang="pt-BR"/>
          </a:p>
        </c:txPr>
        <c:crossAx val="578158464"/>
        <c:crosses val="autoZero"/>
        <c:crossBetween val="between"/>
      </c:valAx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2232A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>
          <a:solidFill>
            <a:srgbClr val="8AA0A8"/>
          </a:solidFill>
          <a:latin typeface="Segoe UI" panose="020B0502040204020203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F1F6F7"/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r>
              <a:rPr lang="pt-BR" sz="1100" b="1">
                <a:solidFill>
                  <a:srgbClr val="F1F6F7"/>
                </a:solidFill>
              </a:rPr>
              <a:t>Receitas x despesas por mês</a:t>
            </a:r>
          </a:p>
        </c:rich>
      </c:tx>
      <c:layout>
        <c:manualLayout>
          <c:xMode val="edge"/>
          <c:yMode val="edge"/>
          <c:x val="3.3085194375516956E-2"/>
          <c:y val="5.1282051282051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F1F6F7"/>
              </a:solidFill>
              <a:latin typeface="Segoe UI" panose="020B0502040204020203" pitchFamily="34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Receitas</c:v>
          </c:tx>
          <c:spPr>
            <a:solidFill>
              <a:srgbClr val="22B39A"/>
            </a:solidFill>
            <a:ln>
              <a:solidFill>
                <a:srgbClr val="22B39A"/>
              </a:solidFill>
            </a:ln>
            <a:effectLst/>
          </c:spPr>
          <c:invertIfNegative val="0"/>
          <c:cat>
            <c:numRef>
              <c:f>Resumo!$B$7:$B$18</c:f>
              <c:numCache>
                <c:formatCode>mmm/yyyy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Resumo!$C$7:$C$18</c:f>
              <c:numCache>
                <c:formatCode>"R$ "#,##0.00;\-"R$ "#,##0.00;"-"</c:formatCode>
                <c:ptCount val="12"/>
                <c:pt idx="0">
                  <c:v>5883.79</c:v>
                </c:pt>
                <c:pt idx="1">
                  <c:v>6754.84</c:v>
                </c:pt>
                <c:pt idx="2">
                  <c:v>6668.83</c:v>
                </c:pt>
                <c:pt idx="3">
                  <c:v>5800</c:v>
                </c:pt>
                <c:pt idx="4">
                  <c:v>5800</c:v>
                </c:pt>
                <c:pt idx="5">
                  <c:v>6909.83</c:v>
                </c:pt>
                <c:pt idx="6">
                  <c:v>5800</c:v>
                </c:pt>
                <c:pt idx="7">
                  <c:v>5939.4</c:v>
                </c:pt>
                <c:pt idx="8">
                  <c:v>5800</c:v>
                </c:pt>
                <c:pt idx="9">
                  <c:v>5800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42-4A57-82A6-A50E757EC1A7}"/>
            </c:ext>
          </c:extLst>
        </c:ser>
        <c:ser>
          <c:idx val="1"/>
          <c:order val="1"/>
          <c:tx>
            <c:v>Despesas</c:v>
          </c:tx>
          <c:spPr>
            <a:solidFill>
              <a:srgbClr val="F0705A"/>
            </a:solidFill>
            <a:ln>
              <a:solidFill>
                <a:srgbClr val="F0705A"/>
              </a:solidFill>
            </a:ln>
            <a:effectLst/>
          </c:spPr>
          <c:invertIfNegative val="0"/>
          <c:cat>
            <c:numRef>
              <c:f>Resumo!$B$7:$B$18</c:f>
              <c:numCache>
                <c:formatCode>mmm/yyyy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Resumo!$D$7:$D$18</c:f>
              <c:numCache>
                <c:formatCode>"R$ "#,##0.00;\-"R$ "#,##0.00;"-"</c:formatCode>
                <c:ptCount val="12"/>
                <c:pt idx="0">
                  <c:v>3566.0099999999998</c:v>
                </c:pt>
                <c:pt idx="1">
                  <c:v>3889.9100000000003</c:v>
                </c:pt>
                <c:pt idx="2">
                  <c:v>4109.4600000000009</c:v>
                </c:pt>
                <c:pt idx="3">
                  <c:v>3936.9399999999991</c:v>
                </c:pt>
                <c:pt idx="4">
                  <c:v>3989.110000000001</c:v>
                </c:pt>
                <c:pt idx="5">
                  <c:v>4300.0400000000009</c:v>
                </c:pt>
                <c:pt idx="6">
                  <c:v>4258.87</c:v>
                </c:pt>
                <c:pt idx="7">
                  <c:v>4070.4300000000007</c:v>
                </c:pt>
                <c:pt idx="8">
                  <c:v>3742.25</c:v>
                </c:pt>
                <c:pt idx="9">
                  <c:v>4095.0000000000005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342-4A57-82A6-A50E757EC1A7}"/>
            </c:ext>
          </c:extLst>
        </c:ser>
        <c:ser>
          <c:idx val="2"/>
          <c:order val="2"/>
          <c:tx>
            <c:v>Investido</c:v>
          </c:tx>
          <c:spPr>
            <a:solidFill>
              <a:srgbClr val="5B9BD5"/>
            </a:solidFill>
            <a:ln>
              <a:solidFill>
                <a:srgbClr val="5B9BD5"/>
              </a:solidFill>
            </a:ln>
            <a:effectLst/>
          </c:spPr>
          <c:invertIfNegative val="0"/>
          <c:cat>
            <c:numRef>
              <c:f>Resumo!$B$7:$B$18</c:f>
              <c:numCache>
                <c:formatCode>mmm/yyyy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Resumo!$E$7:$E$18</c:f>
              <c:numCache>
                <c:formatCode>"R$ "#,##0.00;\-"R$ "#,##0.00;"-"</c:formatCode>
                <c:ptCount val="12"/>
                <c:pt idx="0">
                  <c:v>600</c:v>
                </c:pt>
                <c:pt idx="1">
                  <c:v>600</c:v>
                </c:pt>
                <c:pt idx="2">
                  <c:v>600</c:v>
                </c:pt>
                <c:pt idx="3">
                  <c:v>600</c:v>
                </c:pt>
                <c:pt idx="4">
                  <c:v>926.39</c:v>
                </c:pt>
                <c:pt idx="5">
                  <c:v>600</c:v>
                </c:pt>
                <c:pt idx="6">
                  <c:v>859.76</c:v>
                </c:pt>
                <c:pt idx="7">
                  <c:v>600</c:v>
                </c:pt>
                <c:pt idx="8">
                  <c:v>1017.04</c:v>
                </c:pt>
                <c:pt idx="9">
                  <c:v>851.49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342-4A57-82A6-A50E757EC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-5"/>
        <c:axId val="578329592"/>
        <c:axId val="578329952"/>
      </c:barChart>
      <c:catAx>
        <c:axId val="578329592"/>
        <c:scaling>
          <c:orientation val="minMax"/>
        </c:scaling>
        <c:delete val="0"/>
        <c:axPos val="b"/>
        <c:numFmt formatCode="mmm" sourceLinked="0"/>
        <c:majorTickMark val="none"/>
        <c:minorTickMark val="none"/>
        <c:tickLblPos val="nextTo"/>
        <c:spPr>
          <a:noFill/>
          <a:ln w="9525" cap="flat" cmpd="sng" algn="ctr">
            <a:solidFill>
              <a:srgbClr val="23404A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8AA0A8"/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endParaRPr lang="pt-BR"/>
          </a:p>
        </c:txPr>
        <c:crossAx val="578329952"/>
        <c:crosses val="autoZero"/>
        <c:auto val="0"/>
        <c:lblAlgn val="ctr"/>
        <c:lblOffset val="100"/>
        <c:noMultiLvlLbl val="0"/>
      </c:catAx>
      <c:valAx>
        <c:axId val="57832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23404A"/>
              </a:solidFill>
              <a:round/>
            </a:ln>
            <a:effectLst/>
          </c:spPr>
        </c:majorGridlines>
        <c:numFmt formatCode="&quot;R$ &quot;#,##0" sourceLinked="0"/>
        <c:majorTickMark val="none"/>
        <c:minorTickMark val="none"/>
        <c:tickLblPos val="nextTo"/>
        <c:spPr>
          <a:noFill/>
          <a:ln>
            <a:noFill/>
          </a:ln>
          <a:effectLst/>
          <a:extLst>
            <a:ext uri="{91240B29-F687-4F45-9708-019B960494DF}">
              <a14:hiddenLine xmlns:a14="http://schemas.microsoft.com/office/drawing/2010/main">
                <a:noFill/>
              </a14:hiddenLine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8AA0A8"/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endParaRPr lang="pt-BR"/>
          </a:p>
        </c:txPr>
        <c:crossAx val="578329592"/>
        <c:crosses val="autoZero"/>
        <c:crossBetween val="between"/>
      </c:valAx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rgbClr val="8AA0A8"/>
              </a:solidFill>
              <a:latin typeface="Segoe UI" panose="020B0502040204020203" pitchFamily="34" charset="0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2232A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>
          <a:solidFill>
            <a:srgbClr val="8AA0A8"/>
          </a:solidFill>
          <a:latin typeface="Segoe UI" panose="020B0502040204020203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F1F6F7"/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r>
              <a:rPr lang="pt-BR" sz="1100" b="1">
                <a:solidFill>
                  <a:srgbClr val="F1F6F7"/>
                </a:solidFill>
              </a:rPr>
              <a:t>Saldo acumulado no ano</a:t>
            </a:r>
          </a:p>
        </c:rich>
      </c:tx>
      <c:layout>
        <c:manualLayout>
          <c:xMode val="edge"/>
          <c:yMode val="edge"/>
          <c:x val="3.787878787878788E-2"/>
          <c:y val="5.1282051282051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F1F6F7"/>
              </a:solidFill>
              <a:latin typeface="Segoe UI" panose="020B0502040204020203" pitchFamily="34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Saldo acumulado</c:v>
          </c:tx>
          <c:spPr>
            <a:ln w="38100" cap="rnd">
              <a:solidFill>
                <a:srgbClr val="22B39A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12232A"/>
              </a:solidFill>
              <a:ln w="38100">
                <a:solidFill>
                  <a:srgbClr val="22B39A"/>
                </a:solidFill>
                <a:prstDash val="solid"/>
              </a:ln>
              <a:effectLst/>
            </c:spPr>
          </c:marker>
          <c:cat>
            <c:numRef>
              <c:f>Resumo!$B$7:$B$18</c:f>
              <c:numCache>
                <c:formatCode>mmm/yyyy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Resumo!$G$7:$G$18</c:f>
              <c:numCache>
                <c:formatCode>"R$ "#,##0.00;\-"R$ "#,##0.00;"-"</c:formatCode>
                <c:ptCount val="12"/>
                <c:pt idx="0">
                  <c:v>1717.7800000000002</c:v>
                </c:pt>
                <c:pt idx="1">
                  <c:v>3982.71</c:v>
                </c:pt>
                <c:pt idx="2">
                  <c:v>5942.079999999999</c:v>
                </c:pt>
                <c:pt idx="3">
                  <c:v>7205.1399999999994</c:v>
                </c:pt>
                <c:pt idx="4">
                  <c:v>8089.6399999999985</c:v>
                </c:pt>
                <c:pt idx="5">
                  <c:v>10099.429999999997</c:v>
                </c:pt>
                <c:pt idx="6">
                  <c:v>10780.799999999997</c:v>
                </c:pt>
                <c:pt idx="7">
                  <c:v>12049.769999999997</c:v>
                </c:pt>
                <c:pt idx="8">
                  <c:v>13090.479999999996</c:v>
                </c:pt>
                <c:pt idx="9">
                  <c:v>13943.989999999996</c:v>
                </c:pt>
                <c:pt idx="10">
                  <c:v>13943.989999999996</c:v>
                </c:pt>
                <c:pt idx="11">
                  <c:v>13943.989999999996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50F-4C0C-81E9-C24D939116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8132400"/>
        <c:axId val="578133480"/>
      </c:lineChart>
      <c:catAx>
        <c:axId val="578132400"/>
        <c:scaling>
          <c:orientation val="minMax"/>
        </c:scaling>
        <c:delete val="0"/>
        <c:axPos val="b"/>
        <c:numFmt formatCode="mmm" sourceLinked="0"/>
        <c:majorTickMark val="none"/>
        <c:minorTickMark val="none"/>
        <c:tickLblPos val="nextTo"/>
        <c:spPr>
          <a:noFill/>
          <a:ln w="9525" cap="flat" cmpd="sng" algn="ctr">
            <a:solidFill>
              <a:srgbClr val="23404A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8AA0A8"/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endParaRPr lang="pt-BR"/>
          </a:p>
        </c:txPr>
        <c:crossAx val="578133480"/>
        <c:crosses val="autoZero"/>
        <c:auto val="0"/>
        <c:lblAlgn val="ctr"/>
        <c:lblOffset val="100"/>
        <c:noMultiLvlLbl val="0"/>
      </c:catAx>
      <c:valAx>
        <c:axId val="578133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23404A"/>
              </a:solidFill>
              <a:round/>
            </a:ln>
            <a:effectLst/>
          </c:spPr>
        </c:majorGridlines>
        <c:numFmt formatCode="&quot;R$ &quot;#,##0" sourceLinked="0"/>
        <c:majorTickMark val="none"/>
        <c:minorTickMark val="none"/>
        <c:tickLblPos val="nextTo"/>
        <c:spPr>
          <a:noFill/>
          <a:ln>
            <a:noFill/>
          </a:ln>
          <a:effectLst/>
          <a:extLst>
            <a:ext uri="{91240B29-F687-4F45-9708-019B960494DF}">
              <a14:hiddenLine xmlns:a14="http://schemas.microsoft.com/office/drawing/2010/main">
                <a:noFill/>
              </a14:hiddenLine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8AA0A8"/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endParaRPr lang="pt-BR"/>
          </a:p>
        </c:txPr>
        <c:crossAx val="578132400"/>
        <c:crosses val="autoZero"/>
        <c:crossBetween val="between"/>
      </c:valAx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2232A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>
          <a:solidFill>
            <a:srgbClr val="8AA0A8"/>
          </a:solidFill>
          <a:latin typeface="Segoe UI" panose="020B0502040204020203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1F6F7"/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r>
              <a:rPr lang="pt-BR">
                <a:solidFill>
                  <a:srgbClr val="F1F6F7"/>
                </a:solidFill>
              </a:rPr>
              <a:t>Parcelas nas próximas faturas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1F6F7"/>
              </a:solidFill>
              <a:latin typeface="Segoe UI" panose="020B0502040204020203" pitchFamily="34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Cartão!$N$7</c:f>
              <c:strCache>
                <c:ptCount val="1"/>
                <c:pt idx="0">
                  <c:v>Nubank</c:v>
                </c:pt>
              </c:strCache>
            </c:strRef>
          </c:tx>
          <c:spPr>
            <a:solidFill>
              <a:srgbClr val="22B39A"/>
            </a:solidFill>
            <a:ln>
              <a:noFill/>
            </a:ln>
            <a:effectLst/>
          </c:spPr>
          <c:invertIfNegative val="0"/>
          <c:cat>
            <c:numRef>
              <c:f>Cartão!$M$8:$M$19</c:f>
              <c:numCache>
                <c:formatCode>mmm/yyyy</c:formatCode>
                <c:ptCount val="12"/>
                <c:pt idx="0">
                  <c:v>46296</c:v>
                </c:pt>
                <c:pt idx="1">
                  <c:v>46327</c:v>
                </c:pt>
                <c:pt idx="2">
                  <c:v>46357</c:v>
                </c:pt>
                <c:pt idx="3">
                  <c:v>46388</c:v>
                </c:pt>
                <c:pt idx="4">
                  <c:v>46419</c:v>
                </c:pt>
                <c:pt idx="5">
                  <c:v>46447</c:v>
                </c:pt>
                <c:pt idx="6">
                  <c:v>46478</c:v>
                </c:pt>
                <c:pt idx="7">
                  <c:v>46508</c:v>
                </c:pt>
                <c:pt idx="8">
                  <c:v>46539</c:v>
                </c:pt>
                <c:pt idx="9">
                  <c:v>46569</c:v>
                </c:pt>
                <c:pt idx="10">
                  <c:v>46600</c:v>
                </c:pt>
                <c:pt idx="11">
                  <c:v>46631</c:v>
                </c:pt>
              </c:numCache>
            </c:numRef>
          </c:cat>
          <c:val>
            <c:numRef>
              <c:f>Cartão!$N$8:$N$19</c:f>
              <c:numCache>
                <c:formatCode>"R$ "#,##0;\-"R$ "#,##0;"-"</c:formatCode>
                <c:ptCount val="12"/>
                <c:pt idx="0">
                  <c:v>720</c:v>
                </c:pt>
                <c:pt idx="1">
                  <c:v>720</c:v>
                </c:pt>
                <c:pt idx="2">
                  <c:v>720</c:v>
                </c:pt>
                <c:pt idx="3">
                  <c:v>560</c:v>
                </c:pt>
                <c:pt idx="4">
                  <c:v>560</c:v>
                </c:pt>
                <c:pt idx="5">
                  <c:v>560</c:v>
                </c:pt>
                <c:pt idx="6">
                  <c:v>560</c:v>
                </c:pt>
                <c:pt idx="7">
                  <c:v>560</c:v>
                </c:pt>
                <c:pt idx="8">
                  <c:v>560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523-4384-9F8F-83496A1F4DC4}"/>
            </c:ext>
          </c:extLst>
        </c:ser>
        <c:ser>
          <c:idx val="1"/>
          <c:order val="1"/>
          <c:tx>
            <c:strRef>
              <c:f>Cartão!$O$7</c:f>
              <c:strCache>
                <c:ptCount val="1"/>
                <c:pt idx="0">
                  <c:v>Inter</c:v>
                </c:pt>
              </c:strCache>
            </c:strRef>
          </c:tx>
          <c:spPr>
            <a:solidFill>
              <a:srgbClr val="F2B544"/>
            </a:solidFill>
            <a:ln>
              <a:noFill/>
            </a:ln>
            <a:effectLst/>
          </c:spPr>
          <c:invertIfNegative val="0"/>
          <c:cat>
            <c:numRef>
              <c:f>Cartão!$M$8:$M$19</c:f>
              <c:numCache>
                <c:formatCode>mmm/yyyy</c:formatCode>
                <c:ptCount val="12"/>
                <c:pt idx="0">
                  <c:v>46296</c:v>
                </c:pt>
                <c:pt idx="1">
                  <c:v>46327</c:v>
                </c:pt>
                <c:pt idx="2">
                  <c:v>46357</c:v>
                </c:pt>
                <c:pt idx="3">
                  <c:v>46388</c:v>
                </c:pt>
                <c:pt idx="4">
                  <c:v>46419</c:v>
                </c:pt>
                <c:pt idx="5">
                  <c:v>46447</c:v>
                </c:pt>
                <c:pt idx="6">
                  <c:v>46478</c:v>
                </c:pt>
                <c:pt idx="7">
                  <c:v>46508</c:v>
                </c:pt>
                <c:pt idx="8">
                  <c:v>46539</c:v>
                </c:pt>
                <c:pt idx="9">
                  <c:v>46569</c:v>
                </c:pt>
                <c:pt idx="10">
                  <c:v>46600</c:v>
                </c:pt>
                <c:pt idx="11">
                  <c:v>46631</c:v>
                </c:pt>
              </c:numCache>
            </c:numRef>
          </c:cat>
          <c:val>
            <c:numRef>
              <c:f>Cartão!$O$8:$O$19</c:f>
              <c:numCache>
                <c:formatCode>"R$ "#,##0;\-"R$ "#,##0;"-"</c:formatCode>
                <c:ptCount val="12"/>
                <c:pt idx="0">
                  <c:v>200</c:v>
                </c:pt>
                <c:pt idx="1">
                  <c:v>200</c:v>
                </c:pt>
                <c:pt idx="2">
                  <c:v>200</c:v>
                </c:pt>
                <c:pt idx="3">
                  <c:v>200</c:v>
                </c:pt>
                <c:pt idx="4">
                  <c:v>200</c:v>
                </c:pt>
                <c:pt idx="5">
                  <c:v>200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523-4384-9F8F-83496A1F4DC4}"/>
            </c:ext>
          </c:extLst>
        </c:ser>
        <c:ser>
          <c:idx val="2"/>
          <c:order val="2"/>
          <c:tx>
            <c:strRef>
              <c:f>Cartão!$P$7</c:f>
              <c:strCache>
                <c:ptCount val="1"/>
              </c:strCache>
            </c:strRef>
          </c:tx>
          <c:spPr>
            <a:solidFill>
              <a:srgbClr val="5B9BD5"/>
            </a:solidFill>
            <a:ln>
              <a:noFill/>
            </a:ln>
            <a:effectLst/>
          </c:spPr>
          <c:invertIfNegative val="0"/>
          <c:cat>
            <c:numRef>
              <c:f>Cartão!$M$8:$M$19</c:f>
              <c:numCache>
                <c:formatCode>mmm/yyyy</c:formatCode>
                <c:ptCount val="12"/>
                <c:pt idx="0">
                  <c:v>46296</c:v>
                </c:pt>
                <c:pt idx="1">
                  <c:v>46327</c:v>
                </c:pt>
                <c:pt idx="2">
                  <c:v>46357</c:v>
                </c:pt>
                <c:pt idx="3">
                  <c:v>46388</c:v>
                </c:pt>
                <c:pt idx="4">
                  <c:v>46419</c:v>
                </c:pt>
                <c:pt idx="5">
                  <c:v>46447</c:v>
                </c:pt>
                <c:pt idx="6">
                  <c:v>46478</c:v>
                </c:pt>
                <c:pt idx="7">
                  <c:v>46508</c:v>
                </c:pt>
                <c:pt idx="8">
                  <c:v>46539</c:v>
                </c:pt>
                <c:pt idx="9">
                  <c:v>46569</c:v>
                </c:pt>
                <c:pt idx="10">
                  <c:v>46600</c:v>
                </c:pt>
                <c:pt idx="11">
                  <c:v>46631</c:v>
                </c:pt>
              </c:numCache>
            </c:numRef>
          </c:cat>
          <c:val>
            <c:numRef>
              <c:f>Cartão!$P$8:$P$19</c:f>
              <c:numCache>
                <c:formatCode>"R$ "#,##0;\-"R$ "#,##0;"-"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523-4384-9F8F-83496A1F4D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579303624"/>
        <c:axId val="579303984"/>
      </c:barChart>
      <c:catAx>
        <c:axId val="579303624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nextTo"/>
        <c:spPr>
          <a:noFill/>
          <a:ln w="9525" cap="flat" cmpd="sng" algn="ctr">
            <a:solidFill>
              <a:srgbClr val="23404A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8AA0A8"/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endParaRPr lang="pt-BR"/>
          </a:p>
        </c:txPr>
        <c:crossAx val="579303984"/>
        <c:crosses val="autoZero"/>
        <c:auto val="0"/>
        <c:lblAlgn val="ctr"/>
        <c:lblOffset val="100"/>
        <c:noMultiLvlLbl val="0"/>
      </c:catAx>
      <c:valAx>
        <c:axId val="579303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23404A"/>
              </a:solidFill>
              <a:round/>
            </a:ln>
            <a:effectLst/>
          </c:spPr>
        </c:majorGridlines>
        <c:numFmt formatCode="&quot;R$ 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8AA0A8"/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endParaRPr lang="pt-BR"/>
          </a:p>
        </c:txPr>
        <c:crossAx val="579303624"/>
        <c:crosses val="autoZero"/>
        <c:crossBetween val="between"/>
      </c:valAx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8AA0A8"/>
              </a:solidFill>
              <a:latin typeface="Segoe UI" panose="020B0502040204020203" pitchFamily="34" charset="0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2232A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>
          <a:solidFill>
            <a:srgbClr val="8AA0A8"/>
          </a:solidFill>
          <a:latin typeface="Segoe UI" panose="020B0502040204020203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1F6F7"/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r>
              <a:rPr lang="pt-BR">
                <a:solidFill>
                  <a:srgbClr val="F1F6F7"/>
                </a:solidFill>
              </a:rPr>
              <a:t>Quanto já foi pago de cada dívida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1F6F7"/>
              </a:solidFill>
              <a:latin typeface="Segoe UI" panose="020B0502040204020203" pitchFamily="34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Já pago</c:v>
          </c:tx>
          <c:spPr>
            <a:solidFill>
              <a:srgbClr val="22B39A"/>
            </a:solidFill>
            <a:ln>
              <a:noFill/>
            </a:ln>
            <a:effectLst/>
          </c:spPr>
          <c:invertIfNegative val="0"/>
          <c:cat>
            <c:strRef>
              <c:f>Dívidas!$Q$6:$Q$8</c:f>
              <c:strCache>
                <c:ptCount val="2"/>
                <c:pt idx="0">
                  <c:v>Financiamento do carro</c:v>
                </c:pt>
                <c:pt idx="1">
                  <c:v>Empréstimo pessoal</c:v>
                </c:pt>
              </c:strCache>
            </c:strRef>
          </c:cat>
          <c:val>
            <c:numRef>
              <c:f>Dívidas!$R$6:$R$8</c:f>
              <c:numCache>
                <c:formatCode>General</c:formatCode>
                <c:ptCount val="3"/>
                <c:pt idx="0">
                  <c:v>12160</c:v>
                </c:pt>
                <c:pt idx="1">
                  <c:v>3584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8A9-444D-A8E0-7EB0C7C8C73A}"/>
            </c:ext>
          </c:extLst>
        </c:ser>
        <c:ser>
          <c:idx val="1"/>
          <c:order val="1"/>
          <c:tx>
            <c:v>Falta pagar</c:v>
          </c:tx>
          <c:spPr>
            <a:solidFill>
              <a:srgbClr val="F0705A"/>
            </a:solidFill>
            <a:ln>
              <a:noFill/>
            </a:ln>
            <a:effectLst/>
          </c:spPr>
          <c:invertIfNegative val="0"/>
          <c:cat>
            <c:strRef>
              <c:f>Dívidas!$Q$6:$Q$8</c:f>
              <c:strCache>
                <c:ptCount val="2"/>
                <c:pt idx="0">
                  <c:v>Financiamento do carro</c:v>
                </c:pt>
                <c:pt idx="1">
                  <c:v>Empréstimo pessoal</c:v>
                </c:pt>
              </c:strCache>
            </c:strRef>
          </c:cat>
          <c:val>
            <c:numRef>
              <c:f>Dívidas!$S$6:$S$8</c:f>
              <c:numCache>
                <c:formatCode>General</c:formatCode>
                <c:ptCount val="3"/>
                <c:pt idx="0">
                  <c:v>10880</c:v>
                </c:pt>
                <c:pt idx="1">
                  <c:v>2560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8A9-444D-A8E0-7EB0C7C8C7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579915080"/>
        <c:axId val="579920840"/>
      </c:barChart>
      <c:catAx>
        <c:axId val="57991508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23404A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8AA0A8"/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endParaRPr lang="pt-BR"/>
          </a:p>
        </c:txPr>
        <c:crossAx val="579920840"/>
        <c:crosses val="autoZero"/>
        <c:auto val="1"/>
        <c:lblAlgn val="ctr"/>
        <c:lblOffset val="100"/>
        <c:noMultiLvlLbl val="0"/>
      </c:catAx>
      <c:valAx>
        <c:axId val="579920840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rgbClr val="23404A"/>
              </a:solidFill>
              <a:round/>
            </a:ln>
            <a:effectLst/>
          </c:spPr>
        </c:majorGridlines>
        <c:numFmt formatCode="&quot;R$ 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8AA0A8"/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endParaRPr lang="pt-BR"/>
          </a:p>
        </c:txPr>
        <c:crossAx val="579915080"/>
        <c:crosses val="autoZero"/>
        <c:crossBetween val="between"/>
      </c:valAx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8AA0A8"/>
              </a:solidFill>
              <a:latin typeface="Segoe UI" panose="020B0502040204020203" pitchFamily="34" charset="0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2232A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>
          <a:solidFill>
            <a:srgbClr val="8AA0A8"/>
          </a:solidFill>
          <a:latin typeface="Segoe UI" panose="020B0502040204020203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1F6F7"/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r>
              <a:rPr lang="pt-BR">
                <a:solidFill>
                  <a:srgbClr val="F1F6F7"/>
                </a:solidFill>
              </a:rPr>
              <a:t>Patrimônio por tipo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1F6F7"/>
              </a:solidFill>
              <a:latin typeface="Segoe UI" panose="020B0502040204020203" pitchFamily="34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v>Patrimônio</c:v>
          </c:tx>
          <c:dPt>
            <c:idx val="0"/>
            <c:bubble3D val="0"/>
            <c:spPr>
              <a:solidFill>
                <a:srgbClr val="7E9299"/>
              </a:solidFill>
              <a:ln w="19050">
                <a:solidFill>
                  <a:srgbClr val="12232A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7CC-4055-8464-E4D889D243BE}"/>
              </c:ext>
            </c:extLst>
          </c:dPt>
          <c:dPt>
            <c:idx val="1"/>
            <c:bubble3D val="0"/>
            <c:spPr>
              <a:solidFill>
                <a:srgbClr val="22B39A"/>
              </a:solidFill>
              <a:ln w="19050">
                <a:solidFill>
                  <a:srgbClr val="12232A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D7CC-4055-8464-E4D889D243BE}"/>
              </c:ext>
            </c:extLst>
          </c:dPt>
          <c:dPt>
            <c:idx val="2"/>
            <c:bubble3D val="0"/>
            <c:spPr>
              <a:solidFill>
                <a:srgbClr val="6FD6C8"/>
              </a:solidFill>
              <a:ln w="19050">
                <a:solidFill>
                  <a:srgbClr val="12232A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7CC-4055-8464-E4D889D243BE}"/>
              </c:ext>
            </c:extLst>
          </c:dPt>
          <c:dPt>
            <c:idx val="3"/>
            <c:bubble3D val="0"/>
            <c:spPr>
              <a:solidFill>
                <a:srgbClr val="5B9BD5"/>
              </a:solidFill>
              <a:ln w="19050">
                <a:solidFill>
                  <a:srgbClr val="12232A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D7CC-4055-8464-E4D889D243BE}"/>
              </c:ext>
            </c:extLst>
          </c:dPt>
          <c:dPt>
            <c:idx val="4"/>
            <c:bubble3D val="0"/>
            <c:spPr>
              <a:solidFill>
                <a:srgbClr val="F2B544"/>
              </a:solidFill>
              <a:ln w="19050">
                <a:solidFill>
                  <a:srgbClr val="12232A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7CC-4055-8464-E4D889D243BE}"/>
              </c:ext>
            </c:extLst>
          </c:dPt>
          <c:dLbls>
            <c:numFmt formatCode="0%;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rgbClr val="FFFFFF"/>
                    </a:solidFill>
                    <a:latin typeface="Segoe UI" panose="020B0502040204020203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Patrimônio!$E$15:$E$19</c:f>
              <c:strCache>
                <c:ptCount val="5"/>
                <c:pt idx="0">
                  <c:v>Conta corrente</c:v>
                </c:pt>
                <c:pt idx="1">
                  <c:v>Reserva de emergência</c:v>
                </c:pt>
                <c:pt idx="2">
                  <c:v>Renda fixa</c:v>
                </c:pt>
                <c:pt idx="3">
                  <c:v>Renda variável</c:v>
                </c:pt>
                <c:pt idx="4">
                  <c:v>Bens</c:v>
                </c:pt>
              </c:strCache>
            </c:strRef>
          </c:cat>
          <c:val>
            <c:numRef>
              <c:f>Patrimônio!$F$15:$F$19</c:f>
              <c:numCache>
                <c:formatCode>"R$ "#,##0;\-"R$ "#,##0;"-"</c:formatCode>
                <c:ptCount val="5"/>
                <c:pt idx="0">
                  <c:v>2350</c:v>
                </c:pt>
                <c:pt idx="1">
                  <c:v>7200</c:v>
                </c:pt>
                <c:pt idx="2">
                  <c:v>6185.4</c:v>
                </c:pt>
                <c:pt idx="3">
                  <c:v>1622.5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7CC-4055-8464-E4D889D243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60"/>
      </c:doughnutChart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8AA0A8"/>
              </a:solidFill>
              <a:latin typeface="Segoe UI" panose="020B0502040204020203" pitchFamily="34" charset="0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2232A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>
          <a:latin typeface="Segoe UI" panose="020B0502040204020203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1F6F7"/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r>
              <a:rPr lang="pt-BR">
                <a:solidFill>
                  <a:srgbClr val="F1F6F7"/>
                </a:solidFill>
              </a:rPr>
              <a:t>Projeção do saldo (meses no eixo)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1F6F7"/>
              </a:solidFill>
              <a:latin typeface="Segoe UI" panose="020B0502040204020203" pitchFamily="34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Saldo projetado</c:v>
          </c:tx>
          <c:spPr>
            <a:ln w="38100" cap="rnd">
              <a:solidFill>
                <a:srgbClr val="22B39A"/>
              </a:solidFill>
              <a:round/>
            </a:ln>
            <a:effectLst/>
          </c:spPr>
          <c:marker>
            <c:symbol val="none"/>
          </c:marker>
          <c:xVal>
            <c:numRef>
              <c:f>Simulador!$P$6:$P$30</c:f>
              <c:numCache>
                <c:formatCode>0.0</c:formatCode>
                <c:ptCount val="25"/>
                <c:pt idx="0">
                  <c:v>0</c:v>
                </c:pt>
                <c:pt idx="1">
                  <c:v>0.79166666666666663</c:v>
                </c:pt>
                <c:pt idx="2">
                  <c:v>1.5833333333333333</c:v>
                </c:pt>
                <c:pt idx="3">
                  <c:v>2.375</c:v>
                </c:pt>
                <c:pt idx="4">
                  <c:v>3.1666666666666665</c:v>
                </c:pt>
                <c:pt idx="5">
                  <c:v>3.9583333333333335</c:v>
                </c:pt>
                <c:pt idx="6">
                  <c:v>4.75</c:v>
                </c:pt>
                <c:pt idx="7">
                  <c:v>5.541666666666667</c:v>
                </c:pt>
                <c:pt idx="8">
                  <c:v>6.333333333333333</c:v>
                </c:pt>
                <c:pt idx="9">
                  <c:v>7.125</c:v>
                </c:pt>
                <c:pt idx="10">
                  <c:v>7.916666666666667</c:v>
                </c:pt>
                <c:pt idx="11">
                  <c:v>8.7083333333333339</c:v>
                </c:pt>
                <c:pt idx="12">
                  <c:v>9.5</c:v>
                </c:pt>
                <c:pt idx="13">
                  <c:v>10.291666666666666</c:v>
                </c:pt>
                <c:pt idx="14">
                  <c:v>11.083333333333334</c:v>
                </c:pt>
                <c:pt idx="15">
                  <c:v>11.875</c:v>
                </c:pt>
                <c:pt idx="16">
                  <c:v>12.666666666666666</c:v>
                </c:pt>
                <c:pt idx="17">
                  <c:v>13.458333333333334</c:v>
                </c:pt>
                <c:pt idx="18">
                  <c:v>14.25</c:v>
                </c:pt>
                <c:pt idx="19">
                  <c:v>15.041666666666666</c:v>
                </c:pt>
                <c:pt idx="20">
                  <c:v>15.833333333333334</c:v>
                </c:pt>
                <c:pt idx="21">
                  <c:v>16.625</c:v>
                </c:pt>
                <c:pt idx="22">
                  <c:v>17.416666666666668</c:v>
                </c:pt>
                <c:pt idx="23">
                  <c:v>18.208333333333332</c:v>
                </c:pt>
                <c:pt idx="24">
                  <c:v>19</c:v>
                </c:pt>
              </c:numCache>
            </c:numRef>
          </c:xVal>
          <c:yVal>
            <c:numRef>
              <c:f>Simulador!$Q$6:$Q$30</c:f>
              <c:numCache>
                <c:formatCode>"R$"#,##0.00_);[Red]\("R$"#,##0.00\)</c:formatCode>
                <c:ptCount val="25"/>
                <c:pt idx="0">
                  <c:v>7200</c:v>
                </c:pt>
                <c:pt idx="1">
                  <c:v>8922.36</c:v>
                </c:pt>
                <c:pt idx="2">
                  <c:v>10655.58</c:v>
                </c:pt>
                <c:pt idx="3">
                  <c:v>12399.74</c:v>
                </c:pt>
                <c:pt idx="4">
                  <c:v>14154.89</c:v>
                </c:pt>
                <c:pt idx="5">
                  <c:v>15921.12</c:v>
                </c:pt>
                <c:pt idx="6">
                  <c:v>17698.490000000002</c:v>
                </c:pt>
                <c:pt idx="7">
                  <c:v>19487.07</c:v>
                </c:pt>
                <c:pt idx="8">
                  <c:v>21286.93</c:v>
                </c:pt>
                <c:pt idx="9">
                  <c:v>23098.14</c:v>
                </c:pt>
                <c:pt idx="10">
                  <c:v>24920.78</c:v>
                </c:pt>
                <c:pt idx="11">
                  <c:v>26754.92</c:v>
                </c:pt>
                <c:pt idx="12">
                  <c:v>28600.62</c:v>
                </c:pt>
                <c:pt idx="13">
                  <c:v>30457.97</c:v>
                </c:pt>
                <c:pt idx="14">
                  <c:v>32327.03</c:v>
                </c:pt>
                <c:pt idx="15">
                  <c:v>34207.879999999997</c:v>
                </c:pt>
                <c:pt idx="16">
                  <c:v>36100.589999999997</c:v>
                </c:pt>
                <c:pt idx="17">
                  <c:v>38005.25</c:v>
                </c:pt>
                <c:pt idx="18">
                  <c:v>39921.910000000003</c:v>
                </c:pt>
                <c:pt idx="19">
                  <c:v>41850.67</c:v>
                </c:pt>
                <c:pt idx="20">
                  <c:v>43791.59</c:v>
                </c:pt>
                <c:pt idx="21">
                  <c:v>45744.76</c:v>
                </c:pt>
                <c:pt idx="22">
                  <c:v>47710.239999999998</c:v>
                </c:pt>
                <c:pt idx="23">
                  <c:v>49688.12</c:v>
                </c:pt>
                <c:pt idx="24">
                  <c:v>51678.48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6E7-449E-B4DF-BD3A0E146BDF}"/>
            </c:ext>
          </c:extLst>
        </c:ser>
        <c:ser>
          <c:idx val="1"/>
          <c:order val="1"/>
          <c:tx>
            <c:v>Objetivo</c:v>
          </c:tx>
          <c:spPr>
            <a:ln w="25400" cap="rnd">
              <a:solidFill>
                <a:srgbClr val="F2B544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Simulador!$P$6:$P$30</c:f>
              <c:numCache>
                <c:formatCode>0.0</c:formatCode>
                <c:ptCount val="25"/>
                <c:pt idx="0">
                  <c:v>0</c:v>
                </c:pt>
                <c:pt idx="1">
                  <c:v>0.79166666666666663</c:v>
                </c:pt>
                <c:pt idx="2">
                  <c:v>1.5833333333333333</c:v>
                </c:pt>
                <c:pt idx="3">
                  <c:v>2.375</c:v>
                </c:pt>
                <c:pt idx="4">
                  <c:v>3.1666666666666665</c:v>
                </c:pt>
                <c:pt idx="5">
                  <c:v>3.9583333333333335</c:v>
                </c:pt>
                <c:pt idx="6">
                  <c:v>4.75</c:v>
                </c:pt>
                <c:pt idx="7">
                  <c:v>5.541666666666667</c:v>
                </c:pt>
                <c:pt idx="8">
                  <c:v>6.333333333333333</c:v>
                </c:pt>
                <c:pt idx="9">
                  <c:v>7.125</c:v>
                </c:pt>
                <c:pt idx="10">
                  <c:v>7.916666666666667</c:v>
                </c:pt>
                <c:pt idx="11">
                  <c:v>8.7083333333333339</c:v>
                </c:pt>
                <c:pt idx="12">
                  <c:v>9.5</c:v>
                </c:pt>
                <c:pt idx="13">
                  <c:v>10.291666666666666</c:v>
                </c:pt>
                <c:pt idx="14">
                  <c:v>11.083333333333334</c:v>
                </c:pt>
                <c:pt idx="15">
                  <c:v>11.875</c:v>
                </c:pt>
                <c:pt idx="16">
                  <c:v>12.666666666666666</c:v>
                </c:pt>
                <c:pt idx="17">
                  <c:v>13.458333333333334</c:v>
                </c:pt>
                <c:pt idx="18">
                  <c:v>14.25</c:v>
                </c:pt>
                <c:pt idx="19">
                  <c:v>15.041666666666666</c:v>
                </c:pt>
                <c:pt idx="20">
                  <c:v>15.833333333333334</c:v>
                </c:pt>
                <c:pt idx="21">
                  <c:v>16.625</c:v>
                </c:pt>
                <c:pt idx="22">
                  <c:v>17.416666666666668</c:v>
                </c:pt>
                <c:pt idx="23">
                  <c:v>18.208333333333332</c:v>
                </c:pt>
                <c:pt idx="24">
                  <c:v>19</c:v>
                </c:pt>
              </c:numCache>
            </c:numRef>
          </c:xVal>
          <c:yVal>
            <c:numRef>
              <c:f>Simulador!$R$6:$R$30</c:f>
              <c:numCache>
                <c:formatCode>"R$ "#,##0.00;\-"R$ "#,##0.00;"-"</c:formatCode>
                <c:ptCount val="25"/>
                <c:pt idx="0">
                  <c:v>50000</c:v>
                </c:pt>
                <c:pt idx="1">
                  <c:v>50000</c:v>
                </c:pt>
                <c:pt idx="2">
                  <c:v>50000</c:v>
                </c:pt>
                <c:pt idx="3">
                  <c:v>50000</c:v>
                </c:pt>
                <c:pt idx="4">
                  <c:v>50000</c:v>
                </c:pt>
                <c:pt idx="5">
                  <c:v>50000</c:v>
                </c:pt>
                <c:pt idx="6">
                  <c:v>50000</c:v>
                </c:pt>
                <c:pt idx="7">
                  <c:v>50000</c:v>
                </c:pt>
                <c:pt idx="8">
                  <c:v>50000</c:v>
                </c:pt>
                <c:pt idx="9">
                  <c:v>50000</c:v>
                </c:pt>
                <c:pt idx="10">
                  <c:v>50000</c:v>
                </c:pt>
                <c:pt idx="11">
                  <c:v>50000</c:v>
                </c:pt>
                <c:pt idx="12">
                  <c:v>50000</c:v>
                </c:pt>
                <c:pt idx="13">
                  <c:v>50000</c:v>
                </c:pt>
                <c:pt idx="14">
                  <c:v>50000</c:v>
                </c:pt>
                <c:pt idx="15">
                  <c:v>50000</c:v>
                </c:pt>
                <c:pt idx="16">
                  <c:v>50000</c:v>
                </c:pt>
                <c:pt idx="17">
                  <c:v>50000</c:v>
                </c:pt>
                <c:pt idx="18">
                  <c:v>50000</c:v>
                </c:pt>
                <c:pt idx="19">
                  <c:v>50000</c:v>
                </c:pt>
                <c:pt idx="20">
                  <c:v>50000</c:v>
                </c:pt>
                <c:pt idx="21">
                  <c:v>50000</c:v>
                </c:pt>
                <c:pt idx="22">
                  <c:v>50000</c:v>
                </c:pt>
                <c:pt idx="23">
                  <c:v>50000</c:v>
                </c:pt>
                <c:pt idx="24">
                  <c:v>50000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6E7-449E-B4DF-BD3A0E146B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9902840"/>
        <c:axId val="579894200"/>
      </c:scatterChart>
      <c:valAx>
        <c:axId val="579902840"/>
        <c:scaling>
          <c:orientation val="minMax"/>
          <c:min val="0"/>
        </c:scaling>
        <c:delete val="0"/>
        <c:axPos val="b"/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rgbClr val="23404A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8AA0A8"/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endParaRPr lang="pt-BR"/>
          </a:p>
        </c:txPr>
        <c:crossAx val="579894200"/>
        <c:crosses val="autoZero"/>
        <c:crossBetween val="midCat"/>
      </c:valAx>
      <c:valAx>
        <c:axId val="579894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23404A"/>
              </a:solidFill>
              <a:round/>
            </a:ln>
            <a:effectLst/>
          </c:spPr>
        </c:majorGridlines>
        <c:numFmt formatCode="&quot;R$ &quot;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8AA0A8"/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endParaRPr lang="pt-BR"/>
          </a:p>
        </c:txPr>
        <c:crossAx val="579902840"/>
        <c:crosses val="autoZero"/>
        <c:crossBetween val="midCat"/>
      </c:valAx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8AA0A8"/>
              </a:solidFill>
              <a:latin typeface="Segoe UI" panose="020B0502040204020203" pitchFamily="34" charset="0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2232A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>
          <a:solidFill>
            <a:srgbClr val="8AA0A8"/>
          </a:solidFill>
          <a:latin typeface="Segoe UI" panose="020B0502040204020203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9</xdr:row>
      <xdr:rowOff>38100</xdr:rowOff>
    </xdr:from>
    <xdr:to>
      <xdr:col>5</xdr:col>
      <xdr:colOff>739140</xdr:colOff>
      <xdr:row>23</xdr:row>
      <xdr:rowOff>152400</xdr:rowOff>
    </xdr:to>
    <xdr:grpSp>
      <xdr:nvGrpSpPr>
        <xdr:cNvPr id="5" name="Agrupar 4">
          <a:extLst>
            <a:ext uri="{FF2B5EF4-FFF2-40B4-BE49-F238E27FC236}">
              <a16:creationId xmlns:a16="http://schemas.microsoft.com/office/drawing/2014/main" id="{3E39AD41-270E-ED69-F86B-D94918C8A72D}"/>
            </a:ext>
          </a:extLst>
        </xdr:cNvPr>
        <xdr:cNvGrpSpPr/>
      </xdr:nvGrpSpPr>
      <xdr:grpSpPr>
        <a:xfrm>
          <a:off x="232833" y="2366433"/>
          <a:ext cx="3816774" cy="2840567"/>
          <a:chOff x="228600" y="2362200"/>
          <a:chExt cx="3810000" cy="2781300"/>
        </a:xfrm>
      </xdr:grpSpPr>
      <xdr:graphicFrame macro="">
        <xdr:nvGraphicFramePr>
          <xdr:cNvPr id="2" name="Gráfico 1">
            <a:extLst>
              <a:ext uri="{FF2B5EF4-FFF2-40B4-BE49-F238E27FC236}">
                <a16:creationId xmlns:a16="http://schemas.microsoft.com/office/drawing/2014/main" id="{98323A8A-C6BE-E720-90DF-AD62553AAA13}"/>
              </a:ext>
            </a:extLst>
          </xdr:cNvPr>
          <xdr:cNvGraphicFramePr/>
        </xdr:nvGraphicFramePr>
        <xdr:xfrm>
          <a:off x="228600" y="2362200"/>
          <a:ext cx="3810000" cy="27813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Calc!$E$3">
        <xdr:nvSpPr>
          <xdr:cNvPr id="3" name="CaixaDeTexto 2">
            <a:extLst>
              <a:ext uri="{FF2B5EF4-FFF2-40B4-BE49-F238E27FC236}">
                <a16:creationId xmlns:a16="http://schemas.microsoft.com/office/drawing/2014/main" id="{FA85D391-BCBF-2C45-9F84-99A2E75C51DB}"/>
              </a:ext>
            </a:extLst>
          </xdr:cNvPr>
          <xdr:cNvSpPr txBox="1"/>
        </xdr:nvSpPr>
        <xdr:spPr>
          <a:xfrm>
            <a:off x="888202" y="3547301"/>
            <a:ext cx="1524000" cy="304800"/>
          </a:xfrm>
          <a:prstGeom prst="rect">
            <a:avLst/>
          </a:prstGeom>
          <a:noFill/>
          <a:ln w="9525" cmpd="sng"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mpd="sng">
                <a:solidFill>
                  <a:schemeClr val="lt1">
                    <a:shade val="50000"/>
                  </a:schemeClr>
                </a:solidFill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none" lIns="0" tIns="0" rIns="0" bIns="0" rtlCol="0" anchor="ctr"/>
          <a:lstStyle/>
          <a:p>
            <a:pPr algn="ctr"/>
            <a:fld id="{5CD14789-F914-40CD-A10B-BD9E50A0EAB0}" type="TxLink">
              <a:rPr lang="en-US" sz="1300" b="1" i="0" u="none" strike="noStrike">
                <a:solidFill>
                  <a:srgbClr val="F1F6F7"/>
                </a:solidFill>
                <a:latin typeface="Segoe UI" panose="020B0502040204020203" pitchFamily="34" charset="0"/>
                <a:cs typeface="Segoe UI"/>
              </a:rPr>
              <a:pPr algn="ctr"/>
              <a:t>R$ 5.800</a:t>
            </a:fld>
            <a:endParaRPr lang="pt-BR" sz="1300" b="1">
              <a:solidFill>
                <a:srgbClr val="F1F6F7"/>
              </a:solidFill>
              <a:latin typeface="Segoe UI" panose="020B0502040204020203" pitchFamily="34" charset="0"/>
            </a:endParaRPr>
          </a:p>
        </xdr:txBody>
      </xdr:sp>
      <xdr:sp macro="" textlink="">
        <xdr:nvSpPr>
          <xdr:cNvPr id="4" name="CaixaDeTexto 3">
            <a:extLst>
              <a:ext uri="{FF2B5EF4-FFF2-40B4-BE49-F238E27FC236}">
                <a16:creationId xmlns:a16="http://schemas.microsoft.com/office/drawing/2014/main" id="{9394BB6C-1A9F-7C26-5588-66FFB275C6B3}"/>
              </a:ext>
            </a:extLst>
          </xdr:cNvPr>
          <xdr:cNvSpPr txBox="1"/>
        </xdr:nvSpPr>
        <xdr:spPr>
          <a:xfrm>
            <a:off x="888202" y="3852101"/>
            <a:ext cx="1524000" cy="203200"/>
          </a:xfrm>
          <a:prstGeom prst="rect">
            <a:avLst/>
          </a:prstGeom>
          <a:noFill/>
          <a:ln w="9525" cmpd="sng"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mpd="sng">
                <a:solidFill>
                  <a:schemeClr val="lt1">
                    <a:shade val="50000"/>
                  </a:schemeClr>
                </a:solidFill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t"/>
          <a:lstStyle/>
          <a:p>
            <a:pPr algn="ctr"/>
            <a:r>
              <a:rPr lang="pt-BR" sz="800">
                <a:solidFill>
                  <a:srgbClr val="8AA0A8"/>
                </a:solidFill>
                <a:latin typeface="Segoe UI" panose="020B0502040204020203" pitchFamily="34" charset="0"/>
              </a:rPr>
              <a:t>renda do mês</a:t>
            </a:r>
          </a:p>
        </xdr:txBody>
      </xdr:sp>
    </xdr:grpSp>
    <xdr:clientData/>
  </xdr:twoCellAnchor>
  <xdr:twoCellAnchor>
    <xdr:from>
      <xdr:col>6</xdr:col>
      <xdr:colOff>38100</xdr:colOff>
      <xdr:row>9</xdr:row>
      <xdr:rowOff>38100</xdr:rowOff>
    </xdr:from>
    <xdr:to>
      <xdr:col>10</xdr:col>
      <xdr:colOff>739140</xdr:colOff>
      <xdr:row>23</xdr:row>
      <xdr:rowOff>152400</xdr:rowOff>
    </xdr:to>
    <xdr:grpSp>
      <xdr:nvGrpSpPr>
        <xdr:cNvPr id="9" name="Agrupar 8">
          <a:extLst>
            <a:ext uri="{FF2B5EF4-FFF2-40B4-BE49-F238E27FC236}">
              <a16:creationId xmlns:a16="http://schemas.microsoft.com/office/drawing/2014/main" id="{AD9A7964-0C76-20AE-CED2-F2E52E102F21}"/>
            </a:ext>
          </a:extLst>
        </xdr:cNvPr>
        <xdr:cNvGrpSpPr/>
      </xdr:nvGrpSpPr>
      <xdr:grpSpPr>
        <a:xfrm>
          <a:off x="4127500" y="2366433"/>
          <a:ext cx="3816773" cy="2840567"/>
          <a:chOff x="4114800" y="2362200"/>
          <a:chExt cx="3810000" cy="2781300"/>
        </a:xfrm>
      </xdr:grpSpPr>
      <xdr:graphicFrame macro="">
        <xdr:nvGraphicFramePr>
          <xdr:cNvPr id="6" name="Gráfico 5">
            <a:extLst>
              <a:ext uri="{FF2B5EF4-FFF2-40B4-BE49-F238E27FC236}">
                <a16:creationId xmlns:a16="http://schemas.microsoft.com/office/drawing/2014/main" id="{83B843B3-475D-2352-CE55-BE7B810E7F8B}"/>
              </a:ext>
            </a:extLst>
          </xdr:cNvPr>
          <xdr:cNvGraphicFramePr/>
        </xdr:nvGraphicFramePr>
        <xdr:xfrm>
          <a:off x="4114800" y="2362200"/>
          <a:ext cx="3810000" cy="27813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Calc!$E$10">
        <xdr:nvSpPr>
          <xdr:cNvPr id="7" name="CaixaDeTexto 6">
            <a:extLst>
              <a:ext uri="{FF2B5EF4-FFF2-40B4-BE49-F238E27FC236}">
                <a16:creationId xmlns:a16="http://schemas.microsoft.com/office/drawing/2014/main" id="{A208140E-5834-98A5-DA69-502DA647A082}"/>
              </a:ext>
            </a:extLst>
          </xdr:cNvPr>
          <xdr:cNvSpPr txBox="1"/>
        </xdr:nvSpPr>
        <xdr:spPr>
          <a:xfrm>
            <a:off x="4680962" y="3547301"/>
            <a:ext cx="1524000" cy="304800"/>
          </a:xfrm>
          <a:prstGeom prst="rect">
            <a:avLst/>
          </a:prstGeom>
          <a:noFill/>
          <a:ln w="9525" cmpd="sng"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mpd="sng">
                <a:solidFill>
                  <a:schemeClr val="lt1">
                    <a:shade val="50000"/>
                  </a:schemeClr>
                </a:solidFill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none" lIns="0" tIns="0" rIns="0" bIns="0" rtlCol="0" anchor="ctr"/>
          <a:lstStyle/>
          <a:p>
            <a:pPr algn="ctr"/>
            <a:fld id="{5B853628-3D1D-4B71-814E-717ED8E08A3A}" type="TxLink">
              <a:rPr lang="en-US" sz="1300" b="1" i="0" u="none" strike="noStrike">
                <a:solidFill>
                  <a:srgbClr val="F1F6F7"/>
                </a:solidFill>
                <a:latin typeface="Segoe UI" panose="020B0502040204020203" pitchFamily="34" charset="0"/>
                <a:cs typeface="Segoe UI"/>
              </a:rPr>
              <a:pPr algn="ctr"/>
              <a:t>R$ 4.946</a:t>
            </a:fld>
            <a:endParaRPr lang="pt-BR" sz="1300" b="1">
              <a:solidFill>
                <a:srgbClr val="F1F6F7"/>
              </a:solidFill>
              <a:latin typeface="Segoe UI" panose="020B0502040204020203" pitchFamily="34" charset="0"/>
            </a:endParaRPr>
          </a:p>
        </xdr:txBody>
      </xdr:sp>
      <xdr:sp macro="" textlink="">
        <xdr:nvSpPr>
          <xdr:cNvPr id="8" name="CaixaDeTexto 7">
            <a:extLst>
              <a:ext uri="{FF2B5EF4-FFF2-40B4-BE49-F238E27FC236}">
                <a16:creationId xmlns:a16="http://schemas.microsoft.com/office/drawing/2014/main" id="{D02472F2-0D83-E604-C8C6-0F167FD774EE}"/>
              </a:ext>
            </a:extLst>
          </xdr:cNvPr>
          <xdr:cNvSpPr txBox="1"/>
        </xdr:nvSpPr>
        <xdr:spPr>
          <a:xfrm>
            <a:off x="4680962" y="3852101"/>
            <a:ext cx="1524000" cy="203200"/>
          </a:xfrm>
          <a:prstGeom prst="rect">
            <a:avLst/>
          </a:prstGeom>
          <a:noFill/>
          <a:ln w="9525" cmpd="sng"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mpd="sng">
                <a:solidFill>
                  <a:schemeClr val="lt1">
                    <a:shade val="50000"/>
                  </a:schemeClr>
                </a:solidFill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t"/>
          <a:lstStyle/>
          <a:p>
            <a:pPr algn="ctr"/>
            <a:r>
              <a:rPr lang="pt-BR" sz="800">
                <a:solidFill>
                  <a:srgbClr val="8AA0A8"/>
                </a:solidFill>
                <a:latin typeface="Segoe UI" panose="020B0502040204020203" pitchFamily="34" charset="0"/>
              </a:rPr>
              <a:t>total gasto</a:t>
            </a:r>
          </a:p>
        </xdr:txBody>
      </xdr:sp>
    </xdr:grpSp>
    <xdr:clientData/>
  </xdr:twoCellAnchor>
  <xdr:twoCellAnchor>
    <xdr:from>
      <xdr:col>11</xdr:col>
      <xdr:colOff>38100</xdr:colOff>
      <xdr:row>9</xdr:row>
      <xdr:rowOff>38100</xdr:rowOff>
    </xdr:from>
    <xdr:to>
      <xdr:col>15</xdr:col>
      <xdr:colOff>739140</xdr:colOff>
      <xdr:row>23</xdr:row>
      <xdr:rowOff>152400</xdr:rowOff>
    </xdr:to>
    <xdr:grpSp>
      <xdr:nvGrpSpPr>
        <xdr:cNvPr id="13" name="Agrupar 12">
          <a:extLst>
            <a:ext uri="{FF2B5EF4-FFF2-40B4-BE49-F238E27FC236}">
              <a16:creationId xmlns:a16="http://schemas.microsoft.com/office/drawing/2014/main" id="{0AC250EE-050A-F3A0-73C3-4AE376E0AD38}"/>
            </a:ext>
          </a:extLst>
        </xdr:cNvPr>
        <xdr:cNvGrpSpPr/>
      </xdr:nvGrpSpPr>
      <xdr:grpSpPr>
        <a:xfrm>
          <a:off x="8022167" y="2366433"/>
          <a:ext cx="3816773" cy="2840567"/>
          <a:chOff x="8001000" y="2362200"/>
          <a:chExt cx="3810000" cy="2781300"/>
        </a:xfrm>
      </xdr:grpSpPr>
      <xdr:graphicFrame macro="">
        <xdr:nvGraphicFramePr>
          <xdr:cNvPr id="10" name="Gráfico 9">
            <a:extLst>
              <a:ext uri="{FF2B5EF4-FFF2-40B4-BE49-F238E27FC236}">
                <a16:creationId xmlns:a16="http://schemas.microsoft.com/office/drawing/2014/main" id="{F1BE65D8-E825-9D72-17D5-E7A1FCED42A9}"/>
              </a:ext>
            </a:extLst>
          </xdr:cNvPr>
          <xdr:cNvGraphicFramePr/>
        </xdr:nvGraphicFramePr>
        <xdr:xfrm>
          <a:off x="8001000" y="2362200"/>
          <a:ext cx="3810000" cy="27813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Calc!$E$17">
        <xdr:nvSpPr>
          <xdr:cNvPr id="11" name="CaixaDeTexto 10">
            <a:extLst>
              <a:ext uri="{FF2B5EF4-FFF2-40B4-BE49-F238E27FC236}">
                <a16:creationId xmlns:a16="http://schemas.microsoft.com/office/drawing/2014/main" id="{B7A4A5E0-568B-F176-2E86-AB492591BBB2}"/>
              </a:ext>
            </a:extLst>
          </xdr:cNvPr>
          <xdr:cNvSpPr txBox="1"/>
        </xdr:nvSpPr>
        <xdr:spPr>
          <a:xfrm>
            <a:off x="9408351" y="3460750"/>
            <a:ext cx="1524000" cy="304800"/>
          </a:xfrm>
          <a:prstGeom prst="rect">
            <a:avLst/>
          </a:prstGeom>
          <a:noFill/>
          <a:ln w="9525" cmpd="sng"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mpd="sng">
                <a:solidFill>
                  <a:schemeClr val="lt1">
                    <a:shade val="50000"/>
                  </a:schemeClr>
                </a:solidFill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none" lIns="0" tIns="0" rIns="0" bIns="0" rtlCol="0" anchor="ctr"/>
          <a:lstStyle/>
          <a:p>
            <a:pPr algn="ctr"/>
            <a:fld id="{51ECFDA5-8FBA-4873-A26E-2450FCDAFD36}" type="TxLink">
              <a:rPr lang="en-US" sz="2200" b="1" i="0" u="none" strike="noStrike">
                <a:solidFill>
                  <a:srgbClr val="F1F6F7"/>
                </a:solidFill>
                <a:latin typeface="Segoe UI" panose="020B0502040204020203" pitchFamily="34" charset="0"/>
                <a:cs typeface="Segoe UI"/>
              </a:rPr>
              <a:pPr algn="ctr"/>
              <a:t>29%</a:t>
            </a:fld>
            <a:endParaRPr lang="pt-BR" sz="2200" b="1">
              <a:solidFill>
                <a:srgbClr val="F1F6F7"/>
              </a:solidFill>
              <a:latin typeface="Segoe UI" panose="020B0502040204020203" pitchFamily="34" charset="0"/>
            </a:endParaRPr>
          </a:p>
        </xdr:txBody>
      </xdr:sp>
      <xdr:sp macro="" textlink="">
        <xdr:nvSpPr>
          <xdr:cNvPr id="12" name="CaixaDeTexto 11">
            <a:extLst>
              <a:ext uri="{FF2B5EF4-FFF2-40B4-BE49-F238E27FC236}">
                <a16:creationId xmlns:a16="http://schemas.microsoft.com/office/drawing/2014/main" id="{C1EE8048-3655-56D5-5952-1B15E69FD086}"/>
              </a:ext>
            </a:extLst>
          </xdr:cNvPr>
          <xdr:cNvSpPr txBox="1"/>
        </xdr:nvSpPr>
        <xdr:spPr>
          <a:xfrm>
            <a:off x="9408351" y="3765550"/>
            <a:ext cx="1524000" cy="203200"/>
          </a:xfrm>
          <a:prstGeom prst="rect">
            <a:avLst/>
          </a:prstGeom>
          <a:noFill/>
          <a:ln w="9525" cmpd="sng"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mpd="sng">
                <a:solidFill>
                  <a:schemeClr val="lt1">
                    <a:shade val="50000"/>
                  </a:schemeClr>
                </a:solidFill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t"/>
          <a:lstStyle/>
          <a:p>
            <a:pPr algn="ctr"/>
            <a:r>
              <a:rPr lang="pt-BR" sz="800">
                <a:solidFill>
                  <a:srgbClr val="8AA0A8"/>
                </a:solidFill>
                <a:latin typeface="Segoe UI" panose="020B0502040204020203" pitchFamily="34" charset="0"/>
              </a:rPr>
              <a:t>da renda guardada · meta 20%</a:t>
            </a:r>
          </a:p>
        </xdr:txBody>
      </xdr:sp>
    </xdr:grpSp>
    <xdr:clientData/>
  </xdr:twoCellAnchor>
  <xdr:twoCellAnchor>
    <xdr:from>
      <xdr:col>8</xdr:col>
      <xdr:colOff>38100</xdr:colOff>
      <xdr:row>26</xdr:row>
      <xdr:rowOff>38100</xdr:rowOff>
    </xdr:from>
    <xdr:to>
      <xdr:col>15</xdr:col>
      <xdr:colOff>739140</xdr:colOff>
      <xdr:row>44</xdr:row>
      <xdr:rowOff>152400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962FBF90-4E74-7D71-633D-72ED07E142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38100</xdr:colOff>
      <xdr:row>46</xdr:row>
      <xdr:rowOff>38100</xdr:rowOff>
    </xdr:from>
    <xdr:to>
      <xdr:col>8</xdr:col>
      <xdr:colOff>739140</xdr:colOff>
      <xdr:row>61</xdr:row>
      <xdr:rowOff>152400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EECFFA2F-7A95-CE5B-6AB2-E1F5100644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38100</xdr:colOff>
      <xdr:row>46</xdr:row>
      <xdr:rowOff>38100</xdr:rowOff>
    </xdr:from>
    <xdr:to>
      <xdr:col>15</xdr:col>
      <xdr:colOff>739140</xdr:colOff>
      <xdr:row>61</xdr:row>
      <xdr:rowOff>152400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EDEA2316-253F-E829-1FA3-D3AE9A0961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</xdr:colOff>
      <xdr:row>6</xdr:row>
      <xdr:rowOff>0</xdr:rowOff>
    </xdr:from>
    <xdr:to>
      <xdr:col>26</xdr:col>
      <xdr:colOff>457201</xdr:colOff>
      <xdr:row>20</xdr:row>
      <xdr:rowOff>238760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39D6E56-2BF1-3F39-478E-378E5FA197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11</xdr:row>
      <xdr:rowOff>0</xdr:rowOff>
    </xdr:from>
    <xdr:to>
      <xdr:col>10</xdr:col>
      <xdr:colOff>848360</xdr:colOff>
      <xdr:row>21</xdr:row>
      <xdr:rowOff>185420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F191213-41E8-DAD3-1710-B997016467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12</xdr:row>
      <xdr:rowOff>0</xdr:rowOff>
    </xdr:from>
    <xdr:to>
      <xdr:col>13</xdr:col>
      <xdr:colOff>548640</xdr:colOff>
      <xdr:row>24</xdr:row>
      <xdr:rowOff>185420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37EE4E0-D690-0DE5-47A2-3D32FB7786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4</xdr:row>
      <xdr:rowOff>0</xdr:rowOff>
    </xdr:from>
    <xdr:to>
      <xdr:col>15</xdr:col>
      <xdr:colOff>584200</xdr:colOff>
      <xdr:row>19</xdr:row>
      <xdr:rowOff>187960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3DD710F-76CF-B734-9D9C-71BC85BD35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A7AFAD9-5C5B-47C5-A02D-B47F06F42826}" name="tbLancamentos" displayName="tbLancamentos" ref="B5:I299" totalsRowShown="0" headerRowDxfId="132" dataDxfId="130" headerRowBorderDxfId="131">
  <autoFilter ref="B5:I299" xr:uid="{BA7AFAD9-5C5B-47C5-A02D-B47F06F42826}"/>
  <tableColumns count="8">
    <tableColumn id="1" xr3:uid="{9DFA6886-E65C-4B59-B178-23F53A8BF5F9}" name="Data" dataDxfId="129"/>
    <tableColumn id="2" xr3:uid="{431E7070-C619-40B0-8DCE-715E23DB020D}" name="Descrição" dataDxfId="128"/>
    <tableColumn id="3" xr3:uid="{46F1FF3F-64CF-42CC-956A-9B21A75E1A6D}" name="Categoria" dataDxfId="127"/>
    <tableColumn id="4" xr3:uid="{67E14C24-30DA-45C0-BD94-06ABBC4335C1}" name="Valor" dataDxfId="126"/>
    <tableColumn id="5" xr3:uid="{213016CB-DF41-41CC-B6D9-6F87E3024D76}" name="Pagamento" dataDxfId="125"/>
    <tableColumn id="6" xr3:uid="{C8FE46CC-77B8-4E71-A4E5-F637B9EC24A2}" name="Tipo" dataDxfId="124">
      <calculatedColumnFormula>IFERROR(INDEX(tbCategorias[Tipo],MATCH(tbLancamentos[[#This Row],[Categoria]],tbCategorias[Categoria],0)),"Categoria?")</calculatedColumnFormula>
    </tableColumn>
    <tableColumn id="7" xr3:uid="{3EEB399D-1894-4BB1-B1F5-025DC60733C0}" name="Grupo" dataDxfId="123">
      <calculatedColumnFormula>IFERROR(INDEX(tbCategorias[Grupo],MATCH(tbLancamentos[[#This Row],[Categoria]],tbCategorias[Categoria],0)),"")</calculatedColumnFormula>
    </tableColumn>
    <tableColumn id="8" xr3:uid="{F8E1241D-8C14-44C4-989A-02366E513EEF}" name="Mês" dataDxfId="122">
      <calculatedColumnFormula>IF(tbLancamentos[[#This Row],[Data]]="","",DATE(YEAR(tbLancamentos[[#This Row],[Data]]),MONTH(tbLancamentos[[#This Row],[Data]]),1))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F594D59-54F8-41BA-BB9A-2CAD9DAE310B}" name="tbContas" displayName="tbContas" ref="B7:I19" totalsRowShown="0" headerRowDxfId="121" dataDxfId="119" headerRowBorderDxfId="120">
  <autoFilter ref="B7:I19" xr:uid="{FF594D59-54F8-41BA-BB9A-2CAD9DAE310B}"/>
  <tableColumns count="8">
    <tableColumn id="1" xr3:uid="{1B8BD279-F4D5-4791-836D-2D7AC0A2D029}" name="Conta" dataDxfId="118"/>
    <tableColumn id="2" xr3:uid="{63CFC855-D112-40DB-A928-37617F6B505F}" name="Categoria" dataDxfId="117"/>
    <tableColumn id="3" xr3:uid="{BC5CBEBC-BCE6-45EB-B0C2-731E9E9270C8}" name="Valor previsto" dataDxfId="116"/>
    <tableColumn id="4" xr3:uid="{1D9AFD9A-6B91-4A51-9541-AAA5651A4C5F}" name="Dia do vencimento" dataDxfId="115"/>
    <tableColumn id="5" xr3:uid="{01B9DF11-533C-43D1-981E-89702EC3389E}" name="Pagamento" dataDxfId="114"/>
    <tableColumn id="6" xr3:uid="{317DF260-AB29-4E03-BA6C-297DD6D1E0E4}" name="Vence em" dataDxfId="113">
      <calculatedColumnFormula>DATE(YEAR($C$5),MONTH($C$5),MIN(tbContas[[#This Row],[Dia do vencimento]],DAY(EOMONTH($C$5,0))))</calculatedColumnFormula>
    </tableColumn>
    <tableColumn id="7" xr3:uid="{867524AE-22FC-4E2F-8AA7-123C14A4BE9A}" name="Pago no mês" dataDxfId="112">
      <calculatedColumnFormula>SUMIFS(tbLancamentos[Valor],tbLancamentos[Mês],$C$5,tbLancamentos[Descrição],tbContas[[#This Row],[Conta]])</calculatedColumnFormula>
    </tableColumn>
    <tableColumn id="8" xr3:uid="{CCFE576E-B4F8-4342-9C9A-404E4CE99901}" name="Situação" dataDxfId="111">
      <calculatedColumnFormula>IF(tbContas[[#This Row],[Pago no mês]]&gt;0,"✓ Paga",IF(TODAY()&gt;tbContas[[#This Row],[Vence em]],"⚠ Vencida","Pendente"))</calculatedColumnFormula>
    </tableColumn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AACC4B6-90E5-49F5-9FD1-C27735BF6099}" name="tbCartoes" displayName="tbCartoes" ref="B7:E9" totalsRowShown="0" headerRowDxfId="110" dataDxfId="108" headerRowBorderDxfId="109">
  <autoFilter ref="B7:E9" xr:uid="{3AACC4B6-90E5-49F5-9FD1-C27735BF6099}"/>
  <tableColumns count="4">
    <tableColumn id="1" xr3:uid="{F3DB5ED9-B707-41B9-8C2E-043A83726307}" name="Cartão" dataDxfId="107"/>
    <tableColumn id="2" xr3:uid="{40CCD00E-4BA6-499F-9923-A8D2977894A0}" name="Fecha dia" dataDxfId="106"/>
    <tableColumn id="3" xr3:uid="{82FD8774-9200-4FBE-BB02-B18920F7790A}" name="Vence dia" dataDxfId="105"/>
    <tableColumn id="4" xr3:uid="{65428A92-5A2E-4E67-809E-87884661DFBD}" name="Limite" dataDxfId="104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09743D5-F5F7-4EAD-A99E-0F7E6D331252}" name="tbParcelas" displayName="tbParcelas" ref="B22:N26" totalsRowShown="0" headerRowDxfId="103" dataDxfId="101" headerRowBorderDxfId="102">
  <autoFilter ref="B22:N26" xr:uid="{909743D5-F5F7-4EAD-A99E-0F7E6D331252}"/>
  <tableColumns count="13">
    <tableColumn id="1" xr3:uid="{FCD99212-6B04-4FC4-8480-4B964D7AA7D6}" name="Data da compra" dataDxfId="100"/>
    <tableColumn id="2" xr3:uid="{19122F4D-053D-4CDF-B358-D4F3476FBA1D}" name="Descrição" dataDxfId="99"/>
    <tableColumn id="3" xr3:uid="{CB498F31-834A-44C7-A236-BD635E7BB534}" name="Categoria" dataDxfId="98"/>
    <tableColumn id="4" xr3:uid="{84BAF989-13CD-4933-BC9C-20045934EAEE}" name="Cartão" dataDxfId="97"/>
    <tableColumn id="5" xr3:uid="{5077A66F-599E-42B6-BFF8-E0D6D497A180}" name="Valor total" dataDxfId="96"/>
    <tableColumn id="6" xr3:uid="{F417C5DD-7363-4212-BE13-8F0D5B1D680B}" name="Parcelas" dataDxfId="95"/>
    <tableColumn id="7" xr3:uid="{D59FD509-8A0E-4CCC-A7CB-0F73F012D971}" name="Valor da parcela" dataDxfId="94">
      <calculatedColumnFormula>IF(N(tbParcelas[[#This Row],[Parcelas]])=0,0,tbParcelas[[#This Row],[Valor total]]/tbParcelas[[#This Row],[Parcelas]])</calculatedColumnFormula>
    </tableColumn>
    <tableColumn id="8" xr3:uid="{AC887FC1-E609-4E55-8079-D8162B0769EF}" name="1ª fatura" dataDxfId="93">
      <calculatedColumnFormula>IFERROR(EDATE(DATE(YEAR(tbParcelas[[#This Row],[Data da compra]]),MONTH(tbParcelas[[#This Row],[Data da compra]]),1),IF(DAY(tbParcelas[[#This Row],[Data da compra]])&gt;=INDEX(tbCartoes[Fecha dia],MATCH(tbParcelas[[#This Row],[Cartão]],tbCartoes[Cartão],0)),1,0)+IF(INDEX(tbCartoes[Vence dia],MATCH(tbParcelas[[#This Row],[Cartão]],tbCartoes[Cartão],0))&lt;=INDEX(tbCartoes[Fecha dia],MATCH(tbParcelas[[#This Row],[Cartão]],tbCartoes[Cartão],0)),1,0)),"")</calculatedColumnFormula>
    </tableColumn>
    <tableColumn id="9" xr3:uid="{BB6614B4-6722-4838-BB20-E514F3ABD114}" name="Última fatura" dataDxfId="92">
      <calculatedColumnFormula>IF(tbParcelas[[#This Row],[1ª fatura]]="","",EDATE(tbParcelas[[#This Row],[1ª fatura]],tbParcelas[[#This Row],[Parcelas]]-1))</calculatedColumnFormula>
    </tableColumn>
    <tableColumn id="10" xr3:uid="{3FCF844C-0CA3-48F3-9FC1-0571C15BE894}" name="Parcela do mês" dataDxfId="91">
      <calculatedColumnFormula>IF(tbParcelas[[#This Row],[1ª fatura]]="","",IF(AND($C$5&gt;=tbParcelas[[#This Row],[1ª fatura]],$C$5&lt;=tbParcelas[[#This Row],[Última fatura]]),((YEAR($C$5)-YEAR(tbParcelas[[#This Row],[1ª fatura]]))*12+MONTH($C$5)-MONTH(tbParcelas[[#This Row],[1ª fatura]])+1)&amp;" de "&amp;tbParcelas[[#This Row],[Parcelas]],"—"))</calculatedColumnFormula>
    </tableColumn>
    <tableColumn id="11" xr3:uid="{643B7015-2C78-4FD2-9A92-734DFBA2FB83}" name="Valor no mês" dataDxfId="90">
      <calculatedColumnFormula>IF(tbParcelas[[#This Row],[1ª fatura]]="",0,IF(AND($C$5&gt;=tbParcelas[[#This Row],[1ª fatura]],$C$5&lt;=tbParcelas[[#This Row],[Última fatura]]),tbParcelas[[#This Row],[Valor da parcela]],0))</calculatedColumnFormula>
    </tableColumn>
    <tableColumn id="12" xr3:uid="{7A5D6E0A-54AE-4AA6-8C50-A82238A93D69}" name="A pagar depois" dataDxfId="89">
      <calculatedColumnFormula>IF(tbParcelas[[#This Row],[1ª fatura]]="",0,tbParcelas[[#This Row],[Valor da parcela]]*MAX(0,MIN(tbParcelas[[#This Row],[Parcelas]],(YEAR(tbParcelas[[#This Row],[Última fatura]])-YEAR($C$5))*12+MONTH(tbParcelas[[#This Row],[Última fatura]])-MONTH($C$5))))</calculatedColumnFormula>
    </tableColumn>
    <tableColumn id="13" xr3:uid="{29ECAB3F-046C-41B5-8383-1BFA0785824A}" name="Situação" dataDxfId="88">
      <calculatedColumnFormula>IF(tbParcelas[[#This Row],[Valor no mês]]=0,"—",IF(SUMIFS(tbLancamentos[Valor],tbLancamentos[Mês],$C$5,tbLancamentos[Descrição],tbParcelas[[#This Row],[Descrição]])&gt;0,"✓ Lançada","Lançar no mês"))</calculatedColumnFormula>
    </tableColumn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7E78D9C-343A-4661-AF90-64FDC39DE1DC}" name="tbDividas" displayName="tbDividas" ref="B5:O7" totalsRowShown="0" headerRowDxfId="87" dataDxfId="85" headerRowBorderDxfId="86">
  <autoFilter ref="B5:O7" xr:uid="{97E78D9C-343A-4661-AF90-64FDC39DE1DC}"/>
  <tableColumns count="14">
    <tableColumn id="1" xr3:uid="{9BAB2CA6-5C07-4F34-B865-1020909F0E0F}" name="Dívida" dataDxfId="84"/>
    <tableColumn id="2" xr3:uid="{5917E9D7-6C83-4DB3-A459-11DBF511FDA8}" name="Credor" dataDxfId="83"/>
    <tableColumn id="3" xr3:uid="{F0FD2A97-70ED-42B7-9157-018B4660C7A3}" name="Valor contratado" dataDxfId="82"/>
    <tableColumn id="4" xr3:uid="{BA0BD592-0DE0-4455-A449-1F0D1C95636A}" name="Juros ao mês" dataDxfId="81"/>
    <tableColumn id="5" xr3:uid="{84FFB6A7-76FB-485C-B98A-0537BCECD1B4}" name="Nº de parcelas" dataDxfId="80"/>
    <tableColumn id="6" xr3:uid="{856F0BB2-4A6E-48BE-BD66-7E0C3FA1DC65}" name="Valor da parcela" dataDxfId="79"/>
    <tableColumn id="7" xr3:uid="{6EE28D25-3538-40CA-B2A8-097400028360}" name="1ª parcela" dataDxfId="78"/>
    <tableColumn id="8" xr3:uid="{A66430EC-0279-40C0-BBB7-947D00DCEFFA}" name="Parcelas pagas" dataDxfId="77"/>
    <tableColumn id="9" xr3:uid="{6BF5D1AF-C8D5-4E96-AF59-2D6F0B9FE802}" name="Restantes" dataDxfId="76">
      <calculatedColumnFormula>MAX(0,tbDividas[[#This Row],[Nº de parcelas]]-tbDividas[[#This Row],[Parcelas pagas]])</calculatedColumnFormula>
    </tableColumn>
    <tableColumn id="10" xr3:uid="{4A15BB44-2E75-49C7-B956-2266D86A6B7F}" name="Saldo devedor" dataDxfId="75">
      <calculatedColumnFormula>IF(tbDividas[[#This Row],[Restantes]]=0,0,IF(N(tbDividas[[#This Row],[Juros ao mês]])=0,tbDividas[[#This Row],[Valor da parcela]]*tbDividas[[#This Row],[Restantes]],PV(tbDividas[[#This Row],[Juros ao mês]],tbDividas[[#This Row],[Restantes]],-tbDividas[[#This Row],[Valor da parcela]])))</calculatedColumnFormula>
    </tableColumn>
    <tableColumn id="11" xr3:uid="{75FB549E-848C-47FA-A562-FE90C1CB2266}" name="Total a pagar" dataDxfId="74">
      <calculatedColumnFormula>tbDividas[[#This Row],[Valor da parcela]]*tbDividas[[#This Row],[Restantes]]</calculatedColumnFormula>
    </tableColumn>
    <tableColumn id="12" xr3:uid="{ABB8C0FA-E61A-4CAF-8DA9-2E873272FC31}" name="Juros a pagar" dataDxfId="73">
      <calculatedColumnFormula>tbDividas[[#This Row],[Total a pagar]]-tbDividas[[#This Row],[Saldo devedor]]</calculatedColumnFormula>
    </tableColumn>
    <tableColumn id="13" xr3:uid="{E4A073B7-EB30-447D-8F70-350809F25289}" name="Quitação" dataDxfId="72">
      <calculatedColumnFormula>IF(tbDividas[[#This Row],[1ª parcela]]="","",EDATE(tbDividas[[#This Row],[1ª parcela]],tbDividas[[#This Row],[Nº de parcelas]]-1))</calculatedColumnFormula>
    </tableColumn>
    <tableColumn id="14" xr3:uid="{52A75B12-9059-45F7-8DE9-6E956A21EF90}" name="Progresso" dataDxfId="71">
      <calculatedColumnFormula>IF(N(tbDividas[[#This Row],[Nº de parcelas]])=0,"",tbDividas[[#This Row],[Parcelas pagas]]/tbDividas[[#This Row],[Nº de parcelas]])</calculatedColumnFormula>
    </tableColumn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F2E4CD-F6B1-4788-9132-E2D0DBAF7870}" name="tbCategorias" displayName="tbCategorias" ref="B5:F20" totalsRowShown="0" headerRowDxfId="70" dataDxfId="68" headerRowBorderDxfId="69">
  <autoFilter ref="B5:F20" xr:uid="{9EF2E4CD-F6B1-4788-9132-E2D0DBAF7870}"/>
  <tableColumns count="5">
    <tableColumn id="1" xr3:uid="{A2497A91-43D0-4CD3-9454-07F809FB1313}" name="Categoria" dataDxfId="67"/>
    <tableColumn id="2" xr3:uid="{C074362A-743F-4E8A-98DB-85C9B81839A6}" name="Tipo" dataDxfId="66"/>
    <tableColumn id="3" xr3:uid="{F8DC46F7-338F-4864-9401-31787A8A5420}" name="Grupo" dataDxfId="65"/>
    <tableColumn id="4" xr3:uid="{71DEF084-6BBB-4A62-9C76-CFA24481BB77}" name="Orçamento mensal" dataDxfId="64"/>
    <tableColumn id="5" xr3:uid="{DEC68FD8-93C8-4EE7-AAAB-D758B09FE925}" name="Ordem" dataDxfId="63">
      <calculatedColumnFormula>IF(tbCategorias[[#This Row],[Tipo]]="Receita","",COUNTIF(INDEX(tbCategorias[Tipo],1):tbCategorias[[#This Row],[Tipo]],"&lt;&gt;Receita"))</calculatedColumnFormula>
    </tableColumn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307823-F47C-4E4F-9700-3F148A75A992}" name="tbMetas" displayName="tbMetas" ref="B5:I9" totalsRowShown="0" headerRowDxfId="62" dataDxfId="60" headerRowBorderDxfId="61">
  <autoFilter ref="B5:I9" xr:uid="{CA307823-F47C-4E4F-9700-3F148A75A992}"/>
  <tableColumns count="8">
    <tableColumn id="1" xr3:uid="{ED3162B6-259F-41FD-9826-3F988FACC929}" name="Meta" dataDxfId="59"/>
    <tableColumn id="2" xr3:uid="{4F521611-9874-44D0-8FB8-42F43A1911F6}" name="Valor alvo" dataDxfId="58"/>
    <tableColumn id="3" xr3:uid="{6E08873E-6B1A-4C08-9CB8-687DF056BA8E}" name="Já guardado" dataDxfId="57"/>
    <tableColumn id="4" xr3:uid="{C41235B5-3D58-43C7-B32E-53533550EFD3}" name="Prazo" dataDxfId="56"/>
    <tableColumn id="5" xr3:uid="{D2D44A74-DCDF-4AE3-900B-C3F295C0F6BB}" name="Progresso" dataDxfId="55">
      <calculatedColumnFormula>IF(N(tbMetas[[#This Row],[Valor alvo]])=0,"",tbMetas[[#This Row],[Já guardado]]/tbMetas[[#This Row],[Valor alvo]])</calculatedColumnFormula>
    </tableColumn>
    <tableColumn id="6" xr3:uid="{5A258BEA-EDA2-4DCF-A3EC-688366A664A2}" name="Falta" dataDxfId="54">
      <calculatedColumnFormula>MAX(0,tbMetas[[#This Row],[Valor alvo]]-tbMetas[[#This Row],[Já guardado]])</calculatedColumnFormula>
    </tableColumn>
    <tableColumn id="7" xr3:uid="{8B5E4801-1C81-4B6E-A187-DDD5F6CC3B1A}" name="Meses restantes" dataDxfId="53">
      <calculatedColumnFormula>IF(tbMetas[[#This Row],[Prazo]]="","",MAX(1,(YEAR(tbMetas[[#This Row],[Prazo]])-YEAR(TODAY()))*12+MONTH(tbMetas[[#This Row],[Prazo]])-MONTH(TODAY())))</calculatedColumnFormula>
    </tableColumn>
    <tableColumn id="8" xr3:uid="{0E6A3C2B-8856-4F86-B23C-B59B222E9A4D}" name="Guardar por mês" dataDxfId="52">
      <calculatedColumnFormula>IF(tbMetas[[#This Row],[Meses restantes]]="","",tbMetas[[#This Row],[Falta]]/tbMetas[[#This Row],[Meses restantes]])</calculatedColumnFormula>
    </tableColumn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4315449-93E9-47B7-BE90-95371BD3124C}" name="tbPatrimonio" displayName="tbPatrimonio" ref="B5:I11" totalsRowShown="0" headerRowDxfId="51" dataDxfId="49" headerRowBorderDxfId="50">
  <autoFilter ref="B5:I11" xr:uid="{64315449-93E9-47B7-BE90-95371BD3124C}"/>
  <tableColumns count="8">
    <tableColumn id="1" xr3:uid="{688A7225-AB38-4400-A51F-F1980A9F12B8}" name="Item" dataDxfId="48"/>
    <tableColumn id="2" xr3:uid="{840DF9E1-CEFB-40D1-8E7A-28FB8D068623}" name="Tipo" dataDxfId="47"/>
    <tableColumn id="3" xr3:uid="{60283736-837A-4A43-BF49-BCB8331717E9}" name="Instituição" dataDxfId="46"/>
    <tableColumn id="4" xr3:uid="{40E896A4-A193-44DB-99BA-9783F348DFBE}" name="Valor aplicado" dataDxfId="45"/>
    <tableColumn id="5" xr3:uid="{DDAFDE5C-A830-441C-BB32-5D4CACC877F5}" name="Valor atual" dataDxfId="44"/>
    <tableColumn id="6" xr3:uid="{E81A7C3C-DAB3-440C-B9D1-C5B0F3CD0E7A}" name="Rendimento" dataDxfId="43">
      <calculatedColumnFormula>tbPatrimonio[[#This Row],[Valor atual]]-tbPatrimonio[[#This Row],[Valor aplicado]]</calculatedColumnFormula>
    </tableColumn>
    <tableColumn id="7" xr3:uid="{F2ECB3D1-1FBA-40DD-8B81-74A62CB8A59B}" name="Rendimento %" dataDxfId="42">
      <calculatedColumnFormula>IF(N(tbPatrimonio[[#This Row],[Valor aplicado]])=0,"",tbPatrimonio[[#This Row],[Rendimento]]/tbPatrimonio[[#This Row],[Valor aplicado]])</calculatedColumnFormula>
    </tableColumn>
    <tableColumn id="8" xr3:uid="{FC876DCA-DB3D-420F-99B2-35094B84B2A7}" name="% do total" dataDxfId="41">
      <calculatedColumnFormula>IF(SUM(tbPatrimonio[Valor atual])=0,"",tbPatrimonio[[#This Row],[Valor atual]]/SUM(tbPatrimonio[Valor atual]))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2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A86E7-1B2D-4568-9A27-6E68F0B2FAE2}">
  <sheetPr>
    <tabColor rgb="FF16303A"/>
    <pageSetUpPr fitToPage="1"/>
  </sheetPr>
  <dimension ref="B1:P112"/>
  <sheetViews>
    <sheetView showGridLines="0" tabSelected="1" zoomScale="90" zoomScaleNormal="90" workbookViewId="0">
      <pane ySplit="5" topLeftCell="A6" activePane="bottomLeft" state="frozen"/>
      <selection pane="bottomLeft" activeCell="M3" sqref="M3:O3"/>
    </sheetView>
  </sheetViews>
  <sheetFormatPr defaultRowHeight="15" x14ac:dyDescent="0.35"/>
  <cols>
    <col min="1" max="1" width="2.77734375" style="2" customWidth="1"/>
    <col min="2" max="16" width="11.33203125" style="2" customWidth="1"/>
    <col min="17" max="17" width="2.77734375" style="2" customWidth="1"/>
    <col min="18" max="16384" width="8.88671875" style="2"/>
  </cols>
  <sheetData>
    <row r="1" spans="2:16" ht="7.95" customHeight="1" x14ac:dyDescent="0.35"/>
    <row r="2" spans="2:16" ht="30" customHeight="1" thickBot="1" x14ac:dyDescent="0.7">
      <c r="B2" s="28" t="s">
        <v>114</v>
      </c>
      <c r="C2" s="3"/>
      <c r="D2" s="3"/>
      <c r="E2" s="3"/>
      <c r="F2" s="3"/>
      <c r="G2" s="3"/>
      <c r="H2" s="3"/>
      <c r="I2" s="3"/>
      <c r="J2" s="213" t="s">
        <v>296</v>
      </c>
      <c r="K2" s="213"/>
      <c r="L2" s="3"/>
      <c r="M2" s="213" t="s">
        <v>115</v>
      </c>
      <c r="N2" s="213"/>
      <c r="O2" s="213"/>
      <c r="P2" s="3"/>
    </row>
    <row r="3" spans="2:16" ht="24" customHeight="1" thickBot="1" x14ac:dyDescent="0.5">
      <c r="B3" s="149" t="str">
        <f ca="1">IF(SUMPRODUCT((SUMIFS(tbLancamentos[Valor],tbLancamentos[Mês],$M$3,tbLancamentos[Descrição],tbContas[Conta])=0)*(DATE(YEAR($M$3),MONTH($M$3),tbContas[Dia do vencimento])&lt;TODAY()))+$O$86+SUMPRODUCT((tbParcelas[1ª fatura]&lt;=$M$3)*(tbParcelas[Última fatura]&gt;=$M$3)*(COUNTIFS(tbLancamentos[Mês],$M$3,tbLancamentos[Descrição],tbParcelas[Descrição])=0))+($K$7&lt;0)=0,"✓ Tudo em dia neste mês","⚠  "&amp;IF(SUMPRODUCT((SUMIFS(tbLancamentos[Valor],tbLancamentos[Mês],$M$3,tbLancamentos[Descrição],tbContas[Conta])=0)*(DATE(YEAR($M$3),MONTH($M$3),tbContas[Dia do vencimento])&lt;TODAY()))&gt;0,SUMPRODUCT((SUMIFS(tbLancamentos[Valor],tbLancamentos[Mês],$M$3,tbLancamentos[Descrição],tbContas[Conta])=0)*(DATE(YEAR($M$3),MONTH($M$3),tbContas[Dia do vencimento])&lt;TODAY()))&amp;" conta(s) vencida(s)    ","")&amp;IF($O$86&gt;0,$O$86&amp;" categoria(s) acima do orçamento    ","")&amp;IF(SUMPRODUCT((tbParcelas[1ª fatura]&lt;=$M$3)*(tbParcelas[Última fatura]&gt;=$M$3)*(COUNTIFS(tbLancamentos[Mês],$M$3,tbLancamentos[Descrição],tbParcelas[Descrição])=0))&gt;0,SUMPRODUCT((tbParcelas[1ª fatura]&lt;=$M$3)*(tbParcelas[Última fatura]&gt;=$M$3)*(COUNTIFS(tbLancamentos[Mês],$M$3,tbLancamentos[Descrição],tbParcelas[Descrição])=0))&amp;" parcela(s) do cartão para lançar    ","")&amp;IF($K$7&lt;0,"saldo do mês negativo",""))</f>
        <v xml:space="preserve">⚠  1 conta(s) vencida(s)    2 categoria(s) acima do orçamento    4 parcela(s) do cartão para lançar    </v>
      </c>
      <c r="C3" s="3"/>
      <c r="D3" s="3"/>
      <c r="E3" s="3"/>
      <c r="F3" s="3"/>
      <c r="G3" s="3"/>
      <c r="H3" s="3"/>
      <c r="I3" s="3"/>
      <c r="J3" s="237">
        <f>SUM(tbPatrimonio[Valor atual])-SUM(tbDividas[Saldo devedor])</f>
        <v>5312.699457632365</v>
      </c>
      <c r="K3" s="237"/>
      <c r="L3" s="3"/>
      <c r="M3" s="214">
        <v>46296</v>
      </c>
      <c r="N3" s="215"/>
      <c r="O3" s="216"/>
      <c r="P3" s="3"/>
    </row>
    <row r="4" spans="2:16" ht="19.95" customHeight="1" x14ac:dyDescent="0.35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2:16" ht="12" customHeight="1" thickBot="1" x14ac:dyDescent="0.4"/>
    <row r="6" spans="2:16" ht="24" customHeight="1" x14ac:dyDescent="0.35">
      <c r="B6" s="196" t="s">
        <v>116</v>
      </c>
      <c r="C6" s="197"/>
      <c r="D6" s="197"/>
      <c r="E6" s="202" t="s">
        <v>117</v>
      </c>
      <c r="F6" s="203"/>
      <c r="G6" s="203"/>
      <c r="H6" s="223" t="s">
        <v>118</v>
      </c>
      <c r="I6" s="224"/>
      <c r="J6" s="224"/>
      <c r="K6" s="219" t="s">
        <v>119</v>
      </c>
      <c r="L6" s="220"/>
      <c r="M6" s="220"/>
      <c r="N6" s="204" t="s">
        <v>120</v>
      </c>
      <c r="O6" s="205"/>
      <c r="P6" s="206"/>
    </row>
    <row r="7" spans="2:16" ht="34.049999999999997" customHeight="1" x14ac:dyDescent="0.65">
      <c r="B7" s="198">
        <f>SUMIFS(tbLancamentos[Valor],tbLancamentos[Mês],$M$3,tbLancamentos[Tipo],"Receita")</f>
        <v>5800</v>
      </c>
      <c r="C7" s="199"/>
      <c r="D7" s="199"/>
      <c r="E7" s="198">
        <f>SUMIFS(tbLancamentos[Valor],tbLancamentos[Mês],$M$3,tbLancamentos[Tipo],"Despesa")</f>
        <v>4095.0000000000005</v>
      </c>
      <c r="F7" s="199"/>
      <c r="G7" s="199"/>
      <c r="H7" s="198">
        <f>SUMIFS(tbLancamentos[Valor],tbLancamentos[Mês],$M$3,tbLancamentos[Tipo],"Investimento")</f>
        <v>851.49</v>
      </c>
      <c r="I7" s="199"/>
      <c r="J7" s="199"/>
      <c r="K7" s="198">
        <f t="shared" ref="K7" si="0">B7-E7-H7</f>
        <v>853.50999999999954</v>
      </c>
      <c r="L7" s="199"/>
      <c r="M7" s="199"/>
      <c r="N7" s="207">
        <f t="shared" ref="N7" si="1">IF(B7=0,0,(B7-E7)/B7)</f>
        <v>0.29396551724137926</v>
      </c>
      <c r="O7" s="208"/>
      <c r="P7" s="209"/>
    </row>
    <row r="8" spans="2:16" ht="19.95" customHeight="1" thickBot="1" x14ac:dyDescent="0.4">
      <c r="B8" s="200">
        <f>IFERROR(B7/SUMIFS(tbLancamentos[Valor],tbLancamentos[Mês],EDATE($M$3,-1),tbLancamentos[Tipo],"Receita")-1,"")</f>
        <v>0</v>
      </c>
      <c r="C8" s="201"/>
      <c r="D8" s="201"/>
      <c r="E8" s="200">
        <f>IFERROR(E7/SUMIFS(tbLancamentos[Valor],tbLancamentos[Mês],EDATE($M$3,-1),tbLancamentos[Tipo],"Despesa")-1,"")</f>
        <v>9.4261473712339061E-2</v>
      </c>
      <c r="F8" s="201"/>
      <c r="G8" s="201"/>
      <c r="H8" s="200">
        <f>IFERROR(H7/SUMIFS(tbLancamentos[Valor],tbLancamentos[Mês],EDATE($M$3,-1),tbLancamentos[Tipo],"Investimento")-1,"")</f>
        <v>-0.16277629198458266</v>
      </c>
      <c r="I8" s="201"/>
      <c r="J8" s="201"/>
      <c r="K8" s="221">
        <f>K7-(SUMIFS(tbLancamentos[Valor],tbLancamentos[Mês],EDATE($M$3,-1),tbLancamentos[Tipo],"Receita")-SUMIFS(tbLancamentos[Valor],tbLancamentos[Mês],EDATE($M$3,-1),tbLancamentos[Tipo],"Despesa")-SUMIFS(tbLancamentos[Valor],tbLancamentos[Mês],EDATE($M$3,-1),tbLancamentos[Tipo],"Investimento"))</f>
        <v>-187.2000000000005</v>
      </c>
      <c r="L8" s="222"/>
      <c r="M8" s="222"/>
      <c r="N8" s="210" t="str">
        <f t="shared" ref="N8" si="2">IF(B7=0,"",IF(N7&gt;=0.2,"✓ acima da meta de 20%","meta: guardar 20% da renda"))</f>
        <v>✓ acima da meta de 20%</v>
      </c>
      <c r="O8" s="211"/>
      <c r="P8" s="212"/>
    </row>
    <row r="9" spans="2:16" ht="12" customHeight="1" x14ac:dyDescent="0.35"/>
    <row r="26" spans="2:8" ht="12" customHeight="1" x14ac:dyDescent="0.35"/>
    <row r="27" spans="2:8" ht="22.05" customHeight="1" thickBot="1" x14ac:dyDescent="0.5">
      <c r="B27" s="31" t="s">
        <v>126</v>
      </c>
    </row>
    <row r="28" spans="2:8" x14ac:dyDescent="0.35">
      <c r="B28" s="38" t="s">
        <v>3</v>
      </c>
      <c r="C28" s="35"/>
      <c r="D28" s="36" t="s">
        <v>127</v>
      </c>
      <c r="E28" s="36" t="s">
        <v>128</v>
      </c>
      <c r="F28" s="36" t="s">
        <v>129</v>
      </c>
      <c r="G28" s="225" t="s">
        <v>130</v>
      </c>
      <c r="H28" s="225"/>
    </row>
    <row r="29" spans="2:8" x14ac:dyDescent="0.35">
      <c r="B29" s="39" t="str">
        <f>IFERROR(INDEX(tbCategorias[Categoria],MATCH(ROWS(B$29:B29),tbCategorias[Ordem],0)),"")</f>
        <v>Moradia</v>
      </c>
      <c r="C29" s="32"/>
      <c r="D29" s="43">
        <f>IF($B29="","",N(INDEX(tbCategorias[Orçamento mensal],MATCH($B29,tbCategorias[Categoria],0))))</f>
        <v>1200</v>
      </c>
      <c r="E29" s="43">
        <f>IF($B29="","",SUMIFS(tbLancamentos[Valor],tbLancamentos[Mês],$M$3,tbLancamentos[Categoria],$B29))</f>
        <v>1200</v>
      </c>
      <c r="F29" s="43">
        <f t="shared" ref="F29:F43" si="3">IF($B29="","",D29-E29)</f>
        <v>0</v>
      </c>
      <c r="G29" s="226">
        <f t="shared" ref="G29:G43" si="4">IF(OR($B29="",N(D29)=0),"",E29/D29)</f>
        <v>1</v>
      </c>
      <c r="H29" s="227"/>
    </row>
    <row r="30" spans="2:8" x14ac:dyDescent="0.35">
      <c r="B30" s="40" t="str">
        <f>IFERROR(INDEX(tbCategorias[Categoria],MATCH(ROWS(B$29:B30),tbCategorias[Ordem],0)),"")</f>
        <v>Contas da casa</v>
      </c>
      <c r="C30" s="33"/>
      <c r="D30" s="44">
        <f>IF($B30="","",N(INDEX(tbCategorias[Orçamento mensal],MATCH($B30,tbCategorias[Categoria],0))))</f>
        <v>420</v>
      </c>
      <c r="E30" s="44">
        <f>IF($B30="","",SUMIFS(tbLancamentos[Valor],tbLancamentos[Mês],$M$3,tbLancamentos[Categoria],$B30))</f>
        <v>395.04999999999995</v>
      </c>
      <c r="F30" s="44">
        <f t="shared" si="3"/>
        <v>24.950000000000045</v>
      </c>
      <c r="G30" s="217">
        <f t="shared" si="4"/>
        <v>0.94059523809523804</v>
      </c>
      <c r="H30" s="218"/>
    </row>
    <row r="31" spans="2:8" x14ac:dyDescent="0.35">
      <c r="B31" s="40" t="str">
        <f>IFERROR(INDEX(tbCategorias[Categoria],MATCH(ROWS(B$29:B31),tbCategorias[Ordem],0)),"")</f>
        <v>Mercado</v>
      </c>
      <c r="C31" s="33"/>
      <c r="D31" s="44">
        <f>IF($B31="","",N(INDEX(tbCategorias[Orçamento mensal],MATCH($B31,tbCategorias[Categoria],0))))</f>
        <v>950</v>
      </c>
      <c r="E31" s="44">
        <f>IF($B31="","",SUMIFS(tbLancamentos[Valor],tbLancamentos[Mês],$M$3,tbLancamentos[Categoria],$B31))</f>
        <v>908.6</v>
      </c>
      <c r="F31" s="44">
        <f t="shared" si="3"/>
        <v>41.399999999999977</v>
      </c>
      <c r="G31" s="217">
        <f t="shared" si="4"/>
        <v>0.95642105263157895</v>
      </c>
      <c r="H31" s="218"/>
    </row>
    <row r="32" spans="2:8" x14ac:dyDescent="0.35">
      <c r="B32" s="40" t="str">
        <f>IFERROR(INDEX(tbCategorias[Categoria],MATCH(ROWS(B$29:B32),tbCategorias[Ordem],0)),"")</f>
        <v>Transporte</v>
      </c>
      <c r="C32" s="33"/>
      <c r="D32" s="44">
        <f>IF($B32="","",N(INDEX(tbCategorias[Orçamento mensal],MATCH($B32,tbCategorias[Categoria],0))))</f>
        <v>380</v>
      </c>
      <c r="E32" s="44">
        <f>IF($B32="","",SUMIFS(tbLancamentos[Valor],tbLancamentos[Mês],$M$3,tbLancamentos[Categoria],$B32))</f>
        <v>314.62</v>
      </c>
      <c r="F32" s="44">
        <f t="shared" si="3"/>
        <v>65.38</v>
      </c>
      <c r="G32" s="217">
        <f t="shared" si="4"/>
        <v>0.82794736842105265</v>
      </c>
      <c r="H32" s="218"/>
    </row>
    <row r="33" spans="2:8" x14ac:dyDescent="0.35">
      <c r="B33" s="40" t="str">
        <f>IFERROR(INDEX(tbCategorias[Categoria],MATCH(ROWS(B$29:B33),tbCategorias[Ordem],0)),"")</f>
        <v>Saúde</v>
      </c>
      <c r="C33" s="33"/>
      <c r="D33" s="44">
        <f>IF($B33="","",N(INDEX(tbCategorias[Orçamento mensal],MATCH($B33,tbCategorias[Categoria],0))))</f>
        <v>350</v>
      </c>
      <c r="E33" s="44">
        <f>IF($B33="","",SUMIFS(tbLancamentos[Valor],tbLancamentos[Mês],$M$3,tbLancamentos[Categoria],$B33))</f>
        <v>209.23000000000002</v>
      </c>
      <c r="F33" s="44">
        <f t="shared" si="3"/>
        <v>140.76999999999998</v>
      </c>
      <c r="G33" s="217">
        <f t="shared" si="4"/>
        <v>0.5978</v>
      </c>
      <c r="H33" s="218"/>
    </row>
    <row r="34" spans="2:8" x14ac:dyDescent="0.35">
      <c r="B34" s="40" t="str">
        <f>IFERROR(INDEX(tbCategorias[Categoria],MATCH(ROWS(B$29:B34),tbCategorias[Ordem],0)),"")</f>
        <v>Educação</v>
      </c>
      <c r="C34" s="33"/>
      <c r="D34" s="44">
        <f>IF($B34="","",N(INDEX(tbCategorias[Orçamento mensal],MATCH($B34,tbCategorias[Categoria],0))))</f>
        <v>150</v>
      </c>
      <c r="E34" s="44">
        <f>IF($B34="","",SUMIFS(tbLancamentos[Valor],tbLancamentos[Mês],$M$3,tbLancamentos[Categoria],$B34))</f>
        <v>79.900000000000006</v>
      </c>
      <c r="F34" s="44">
        <f t="shared" si="3"/>
        <v>70.099999999999994</v>
      </c>
      <c r="G34" s="217">
        <f t="shared" si="4"/>
        <v>0.53266666666666673</v>
      </c>
      <c r="H34" s="218"/>
    </row>
    <row r="35" spans="2:8" x14ac:dyDescent="0.35">
      <c r="B35" s="40" t="str">
        <f>IFERROR(INDEX(tbCategorias[Categoria],MATCH(ROWS(B$29:B35),tbCategorias[Ordem],0)),"")</f>
        <v>Restaurantes e delivery</v>
      </c>
      <c r="C35" s="33"/>
      <c r="D35" s="44">
        <f>IF($B35="","",N(INDEX(tbCategorias[Orçamento mensal],MATCH($B35,tbCategorias[Categoria],0))))</f>
        <v>350</v>
      </c>
      <c r="E35" s="44">
        <f>IF($B35="","",SUMIFS(tbLancamentos[Valor],tbLancamentos[Mês],$M$3,tbLancamentos[Categoria],$B35))</f>
        <v>206.14000000000001</v>
      </c>
      <c r="F35" s="44">
        <f t="shared" si="3"/>
        <v>143.85999999999999</v>
      </c>
      <c r="G35" s="217">
        <f t="shared" si="4"/>
        <v>0.58897142857142859</v>
      </c>
      <c r="H35" s="218"/>
    </row>
    <row r="36" spans="2:8" x14ac:dyDescent="0.35">
      <c r="B36" s="40" t="str">
        <f>IFERROR(INDEX(tbCategorias[Categoria],MATCH(ROWS(B$29:B36),tbCategorias[Ordem],0)),"")</f>
        <v>Lazer</v>
      </c>
      <c r="C36" s="33"/>
      <c r="D36" s="44">
        <f>IF($B36="","",N(INDEX(tbCategorias[Orçamento mensal],MATCH($B36,tbCategorias[Categoria],0))))</f>
        <v>250</v>
      </c>
      <c r="E36" s="44">
        <f>IF($B36="","",SUMIFS(tbLancamentos[Valor],tbLancamentos[Mês],$M$3,tbLancamentos[Categoria],$B36))</f>
        <v>178.11</v>
      </c>
      <c r="F36" s="44">
        <f t="shared" si="3"/>
        <v>71.889999999999986</v>
      </c>
      <c r="G36" s="217">
        <f t="shared" si="4"/>
        <v>0.71244000000000007</v>
      </c>
      <c r="H36" s="218"/>
    </row>
    <row r="37" spans="2:8" x14ac:dyDescent="0.35">
      <c r="B37" s="40" t="str">
        <f>IFERROR(INDEX(tbCategorias[Categoria],MATCH(ROWS(B$29:B37),tbCategorias[Ordem],0)),"")</f>
        <v>Assinaturas</v>
      </c>
      <c r="C37" s="33"/>
      <c r="D37" s="44">
        <f>IF($B37="","",N(INDEX(tbCategorias[Orçamento mensal],MATCH($B37,tbCategorias[Categoria],0))))</f>
        <v>90</v>
      </c>
      <c r="E37" s="44">
        <f>IF($B37="","",SUMIFS(tbLancamentos[Valor],tbLancamentos[Mês],$M$3,tbLancamentos[Categoria],$B37))</f>
        <v>66.8</v>
      </c>
      <c r="F37" s="44">
        <f t="shared" si="3"/>
        <v>23.200000000000003</v>
      </c>
      <c r="G37" s="217">
        <f t="shared" si="4"/>
        <v>0.74222222222222223</v>
      </c>
      <c r="H37" s="218"/>
    </row>
    <row r="38" spans="2:8" x14ac:dyDescent="0.35">
      <c r="B38" s="40" t="str">
        <f>IFERROR(INDEX(tbCategorias[Categoria],MATCH(ROWS(B$29:B38),tbCategorias[Ordem],0)),"")</f>
        <v>Compras</v>
      </c>
      <c r="C38" s="33"/>
      <c r="D38" s="44">
        <f>IF($B38="","",N(INDEX(tbCategorias[Orçamento mensal],MATCH($B38,tbCategorias[Categoria],0))))</f>
        <v>300</v>
      </c>
      <c r="E38" s="44">
        <f>IF($B38="","",SUMIFS(tbLancamentos[Valor],tbLancamentos[Mês],$M$3,tbLancamentos[Categoria],$B38))</f>
        <v>406.92</v>
      </c>
      <c r="F38" s="44">
        <f t="shared" si="3"/>
        <v>-106.92000000000002</v>
      </c>
      <c r="G38" s="217">
        <f t="shared" si="4"/>
        <v>1.3564000000000001</v>
      </c>
      <c r="H38" s="218"/>
    </row>
    <row r="39" spans="2:8" x14ac:dyDescent="0.35">
      <c r="B39" s="40" t="str">
        <f>IFERROR(INDEX(tbCategorias[Categoria],MATCH(ROWS(B$29:B39),tbCategorias[Ordem],0)),"")</f>
        <v>Outros</v>
      </c>
      <c r="C39" s="33"/>
      <c r="D39" s="44">
        <f>IF($B39="","",N(INDEX(tbCategorias[Orçamento mensal],MATCH($B39,tbCategorias[Categoria],0))))</f>
        <v>100</v>
      </c>
      <c r="E39" s="44">
        <f>IF($B39="","",SUMIFS(tbLancamentos[Valor],tbLancamentos[Mês],$M$3,tbLancamentos[Categoria],$B39))</f>
        <v>129.63</v>
      </c>
      <c r="F39" s="44">
        <f t="shared" si="3"/>
        <v>-29.629999999999995</v>
      </c>
      <c r="G39" s="217">
        <f t="shared" si="4"/>
        <v>1.2963</v>
      </c>
      <c r="H39" s="218"/>
    </row>
    <row r="40" spans="2:8" x14ac:dyDescent="0.35">
      <c r="B40" s="40" t="str">
        <f>IFERROR(INDEX(tbCategorias[Categoria],MATCH(ROWS(B$29:B40),tbCategorias[Ordem],0)),"")</f>
        <v>Investimentos</v>
      </c>
      <c r="C40" s="33"/>
      <c r="D40" s="44">
        <f>IF($B40="","",N(INDEX(tbCategorias[Orçamento mensal],MATCH($B40,tbCategorias[Categoria],0))))</f>
        <v>800</v>
      </c>
      <c r="E40" s="44">
        <f>IF($B40="","",SUMIFS(tbLancamentos[Valor],tbLancamentos[Mês],$M$3,tbLancamentos[Categoria],$B40))</f>
        <v>851.49</v>
      </c>
      <c r="F40" s="44">
        <f t="shared" si="3"/>
        <v>-51.490000000000009</v>
      </c>
      <c r="G40" s="217">
        <f t="shared" si="4"/>
        <v>1.0643625000000001</v>
      </c>
      <c r="H40" s="218"/>
    </row>
    <row r="41" spans="2:8" x14ac:dyDescent="0.35">
      <c r="B41" s="40" t="str">
        <f>IFERROR(INDEX(tbCategorias[Categoria],MATCH(ROWS(B$29:B41),tbCategorias[Ordem],0)),"")</f>
        <v/>
      </c>
      <c r="C41" s="33"/>
      <c r="D41" s="44" t="str">
        <f>IF($B41="","",N(INDEX(tbCategorias[Orçamento mensal],MATCH($B41,tbCategorias[Categoria],0))))</f>
        <v/>
      </c>
      <c r="E41" s="44" t="str">
        <f>IF($B41="","",SUMIFS(tbLancamentos[Valor],tbLancamentos[Mês],$M$3,tbLancamentos[Categoria],$B41))</f>
        <v/>
      </c>
      <c r="F41" s="44" t="str">
        <f t="shared" si="3"/>
        <v/>
      </c>
      <c r="G41" s="217" t="str">
        <f t="shared" si="4"/>
        <v/>
      </c>
      <c r="H41" s="218"/>
    </row>
    <row r="42" spans="2:8" x14ac:dyDescent="0.35">
      <c r="B42" s="40" t="str">
        <f>IFERROR(INDEX(tbCategorias[Categoria],MATCH(ROWS(B$29:B42),tbCategorias[Ordem],0)),"")</f>
        <v/>
      </c>
      <c r="C42" s="33"/>
      <c r="D42" s="44" t="str">
        <f>IF($B42="","",N(INDEX(tbCategorias[Orçamento mensal],MATCH($B42,tbCategorias[Categoria],0))))</f>
        <v/>
      </c>
      <c r="E42" s="44" t="str">
        <f>IF($B42="","",SUMIFS(tbLancamentos[Valor],tbLancamentos[Mês],$M$3,tbLancamentos[Categoria],$B42))</f>
        <v/>
      </c>
      <c r="F42" s="44" t="str">
        <f t="shared" si="3"/>
        <v/>
      </c>
      <c r="G42" s="217" t="str">
        <f t="shared" si="4"/>
        <v/>
      </c>
      <c r="H42" s="218"/>
    </row>
    <row r="43" spans="2:8" ht="15.6" thickBot="1" x14ac:dyDescent="0.4">
      <c r="B43" s="41" t="str">
        <f>IFERROR(INDEX(tbCategorias[Categoria],MATCH(ROWS(B$29:B43),tbCategorias[Ordem],0)),"")</f>
        <v/>
      </c>
      <c r="C43" s="34"/>
      <c r="D43" s="45" t="str">
        <f>IF($B43="","",N(INDEX(tbCategorias[Orçamento mensal],MATCH($B43,tbCategorias[Categoria],0))))</f>
        <v/>
      </c>
      <c r="E43" s="45" t="str">
        <f>IF($B43="","",SUMIFS(tbLancamentos[Valor],tbLancamentos[Mês],$M$3,tbLancamentos[Categoria],$B43))</f>
        <v/>
      </c>
      <c r="F43" s="45" t="str">
        <f t="shared" si="3"/>
        <v/>
      </c>
      <c r="G43" s="229" t="str">
        <f t="shared" si="4"/>
        <v/>
      </c>
      <c r="H43" s="230"/>
    </row>
    <row r="44" spans="2:8" x14ac:dyDescent="0.35">
      <c r="B44" s="42" t="s">
        <v>113</v>
      </c>
      <c r="C44" s="37"/>
      <c r="D44" s="46">
        <f>SUM(D29:D43)</f>
        <v>5340</v>
      </c>
      <c r="E44" s="46">
        <f>SUM(E29:E43)</f>
        <v>4946.4900000000007</v>
      </c>
      <c r="F44" s="46">
        <f>D44-E44</f>
        <v>393.50999999999931</v>
      </c>
      <c r="G44" s="231">
        <f>IF(D44=0,"",E44/D44)</f>
        <v>0.9263089887640451</v>
      </c>
      <c r="H44" s="232"/>
    </row>
    <row r="45" spans="2:8" x14ac:dyDescent="0.35">
      <c r="B45" s="49" t="s">
        <v>298</v>
      </c>
    </row>
    <row r="46" spans="2:8" ht="12" customHeight="1" x14ac:dyDescent="0.35"/>
    <row r="63" spans="2:10" ht="12" customHeight="1" x14ac:dyDescent="0.35"/>
    <row r="64" spans="2:10" ht="22.05" customHeight="1" thickBot="1" x14ac:dyDescent="0.5">
      <c r="B64" s="31" t="s">
        <v>131</v>
      </c>
      <c r="J64" s="31" t="s">
        <v>89</v>
      </c>
    </row>
    <row r="65" spans="2:16" x14ac:dyDescent="0.35">
      <c r="B65" s="38" t="s">
        <v>5</v>
      </c>
      <c r="C65" s="35"/>
      <c r="D65" s="36" t="s">
        <v>45</v>
      </c>
      <c r="E65" s="36" t="s">
        <v>132</v>
      </c>
      <c r="F65" s="36" t="s">
        <v>133</v>
      </c>
      <c r="G65" s="228" t="s">
        <v>134</v>
      </c>
      <c r="H65" s="228"/>
      <c r="J65" s="38" t="s">
        <v>90</v>
      </c>
      <c r="K65" s="35"/>
      <c r="L65" s="35"/>
      <c r="M65" s="36" t="s">
        <v>136</v>
      </c>
      <c r="N65" s="36" t="s">
        <v>123</v>
      </c>
      <c r="O65" s="225" t="s">
        <v>98</v>
      </c>
      <c r="P65" s="228"/>
    </row>
    <row r="66" spans="2:16" x14ac:dyDescent="0.35">
      <c r="B66" s="40" t="s">
        <v>14</v>
      </c>
      <c r="C66" s="33"/>
      <c r="D66" s="44">
        <f>SUMIFS(tbLancamentos[Valor],tbLancamentos[Mês],$M$3,tbLancamentos[Grupo],$B66)</f>
        <v>3107.4</v>
      </c>
      <c r="E66" s="47">
        <f t="shared" ref="E66:E68" si="5">IF($B$7=0,"",D66/$B$7)</f>
        <v>0.53575862068965519</v>
      </c>
      <c r="F66" s="47">
        <v>0.5</v>
      </c>
      <c r="G66" s="218" t="str">
        <f t="shared" ref="G66:G68" si="6">IF(E66="","",IF($B66="Investimento",IF(E66&gt;=F66,"✓ dentro","abaixo da referência"),IF(E66&lt;=F66,"✓ dentro","acima da referência")))</f>
        <v>acima da referência</v>
      </c>
      <c r="H66" s="218"/>
      <c r="J66" s="40" t="str">
        <f>IFERROR(INDEX(tbMetas[Meta],ROWS(J$66:J66)),"")</f>
        <v>Reserva de emergência</v>
      </c>
      <c r="K66" s="33"/>
      <c r="L66" s="33"/>
      <c r="M66" s="44">
        <f>IF($J66="","",INDEX(tbMetas[Valor alvo],ROWS(M$66:M66)))</f>
        <v>18000</v>
      </c>
      <c r="N66" s="44">
        <f>IF($J66="","",INDEX(tbMetas[Já guardado],ROWS(N$66:N66)))</f>
        <v>7200</v>
      </c>
      <c r="O66" s="217">
        <f t="shared" ref="O66:O70" si="7">IF(OR($J66="",N(M66)=0),"",N66/M66)</f>
        <v>0.4</v>
      </c>
      <c r="P66" s="218"/>
    </row>
    <row r="67" spans="2:16" x14ac:dyDescent="0.35">
      <c r="B67" s="40" t="s">
        <v>21</v>
      </c>
      <c r="C67" s="33"/>
      <c r="D67" s="44">
        <f>SUMIFS(tbLancamentos[Valor],tbLancamentos[Mês],$M$3,tbLancamentos[Grupo],$B67)</f>
        <v>987.59999999999991</v>
      </c>
      <c r="E67" s="47">
        <f t="shared" si="5"/>
        <v>0.1702758620689655</v>
      </c>
      <c r="F67" s="47">
        <v>0.3</v>
      </c>
      <c r="G67" s="218" t="str">
        <f t="shared" si="6"/>
        <v>✓ dentro</v>
      </c>
      <c r="H67" s="218"/>
      <c r="J67" s="40" t="str">
        <f>IFERROR(INDEX(tbMetas[Meta],ROWS(J$66:J67)),"")</f>
        <v>Viagem de férias</v>
      </c>
      <c r="K67" s="33"/>
      <c r="L67" s="33"/>
      <c r="M67" s="44">
        <f>IF($J67="","",INDEX(tbMetas[Valor alvo],ROWS(M$66:M67)))</f>
        <v>5000</v>
      </c>
      <c r="N67" s="44">
        <f>IF($J67="","",INDEX(tbMetas[Já guardado],ROWS(N$66:N67)))</f>
        <v>1800</v>
      </c>
      <c r="O67" s="217">
        <f t="shared" si="7"/>
        <v>0.36</v>
      </c>
      <c r="P67" s="218"/>
    </row>
    <row r="68" spans="2:16" x14ac:dyDescent="0.35">
      <c r="B68" s="40" t="s">
        <v>27</v>
      </c>
      <c r="C68" s="33"/>
      <c r="D68" s="44">
        <f>SUMIFS(tbLancamentos[Valor],tbLancamentos[Mês],$M$3,tbLancamentos[Grupo],$B68)</f>
        <v>851.49</v>
      </c>
      <c r="E68" s="47">
        <f t="shared" si="5"/>
        <v>0.14680862068965517</v>
      </c>
      <c r="F68" s="47">
        <v>0.2</v>
      </c>
      <c r="G68" s="218" t="str">
        <f t="shared" si="6"/>
        <v>abaixo da referência</v>
      </c>
      <c r="H68" s="218"/>
      <c r="J68" s="40" t="str">
        <f>IFERROR(INDEX(tbMetas[Meta],ROWS(J$66:J68)),"")</f>
        <v>Notebook novo</v>
      </c>
      <c r="K68" s="33"/>
      <c r="L68" s="33"/>
      <c r="M68" s="44">
        <f>IF($J68="","",INDEX(tbMetas[Valor alvo],ROWS(M$66:M68)))</f>
        <v>4500</v>
      </c>
      <c r="N68" s="44">
        <f>IF($J68="","",INDEX(tbMetas[Já guardado],ROWS(N$66:N68)))</f>
        <v>1200</v>
      </c>
      <c r="O68" s="217">
        <f t="shared" si="7"/>
        <v>0.26666666666666666</v>
      </c>
      <c r="P68" s="218"/>
    </row>
    <row r="69" spans="2:16" x14ac:dyDescent="0.35">
      <c r="B69" s="41" t="s">
        <v>135</v>
      </c>
      <c r="C69" s="34"/>
      <c r="D69" s="45">
        <f>K7</f>
        <v>853.50999999999954</v>
      </c>
      <c r="E69" s="48">
        <f>IF($B$7=0,"",D69/$B$7)</f>
        <v>0.14715689655172406</v>
      </c>
      <c r="F69" s="48"/>
      <c r="G69" s="230"/>
      <c r="H69" s="230"/>
      <c r="J69" s="40" t="str">
        <f>IFERROR(INDEX(tbMetas[Meta],ROWS(J$66:J69)),"")</f>
        <v>Entrada do apartamento</v>
      </c>
      <c r="K69" s="33"/>
      <c r="L69" s="33"/>
      <c r="M69" s="44">
        <f>IF($J69="","",INDEX(tbMetas[Valor alvo],ROWS(M$66:M69)))</f>
        <v>40000</v>
      </c>
      <c r="N69" s="44">
        <f>IF($J69="","",INDEX(tbMetas[Já guardado],ROWS(N$66:N69)))</f>
        <v>3000</v>
      </c>
      <c r="O69" s="217">
        <f t="shared" si="7"/>
        <v>7.4999999999999997E-2</v>
      </c>
      <c r="P69" s="218"/>
    </row>
    <row r="70" spans="2:16" x14ac:dyDescent="0.35">
      <c r="J70" s="41" t="str">
        <f>IFERROR(INDEX(tbMetas[Meta],ROWS(J$66:J70)),"")</f>
        <v/>
      </c>
      <c r="K70" s="34"/>
      <c r="L70" s="34"/>
      <c r="M70" s="45" t="str">
        <f>IF($J70="","",INDEX(tbMetas[Valor alvo],ROWS(M$66:M70)))</f>
        <v/>
      </c>
      <c r="N70" s="45" t="str">
        <f>IF($J70="","",INDEX(tbMetas[Já guardado],ROWS(N$66:N70)))</f>
        <v/>
      </c>
      <c r="O70" s="229" t="str">
        <f t="shared" si="7"/>
        <v/>
      </c>
      <c r="P70" s="230"/>
    </row>
    <row r="72" spans="2:16" ht="12" customHeight="1" x14ac:dyDescent="0.35"/>
    <row r="73" spans="2:16" ht="22.05" customHeight="1" thickBot="1" x14ac:dyDescent="0.5">
      <c r="B73" s="31" t="s">
        <v>137</v>
      </c>
    </row>
    <row r="74" spans="2:16" ht="22.05" customHeight="1" x14ac:dyDescent="0.35">
      <c r="B74" s="196" t="s">
        <v>138</v>
      </c>
      <c r="C74" s="197"/>
      <c r="D74" s="197"/>
      <c r="E74" s="202" t="s">
        <v>139</v>
      </c>
      <c r="F74" s="203"/>
      <c r="G74" s="203"/>
      <c r="H74" s="223" t="s">
        <v>140</v>
      </c>
      <c r="I74" s="224"/>
      <c r="J74" s="224"/>
      <c r="K74" s="219" t="s">
        <v>141</v>
      </c>
      <c r="L74" s="220"/>
      <c r="M74" s="220"/>
      <c r="N74" s="204" t="s">
        <v>142</v>
      </c>
      <c r="O74" s="205"/>
      <c r="P74" s="206"/>
    </row>
    <row r="75" spans="2:16" ht="28.05" customHeight="1" x14ac:dyDescent="0.55000000000000004">
      <c r="B75" s="233">
        <f>SUMIFS(tbLancamentos[Valor],tbLancamentos[Tipo],"Receita",tbLancamentos[Mês],"&gt;="&amp;DATE(YEAR($M$3),1,1),tbLancamentos[Mês],"&lt;="&amp;$M$3)</f>
        <v>61156.69</v>
      </c>
      <c r="C75" s="234"/>
      <c r="D75" s="234"/>
      <c r="E75" s="233">
        <f>SUMIFS(tbLancamentos[Valor],tbLancamentos[Tipo],"Despesa",tbLancamentos[Mês],"&gt;="&amp;DATE(YEAR($M$3),1,1),tbLancamentos[Mês],"&lt;="&amp;$M$3)</f>
        <v>39958.020000000084</v>
      </c>
      <c r="F75" s="234"/>
      <c r="G75" s="234"/>
      <c r="H75" s="233">
        <f>SUMIFS(tbLancamentos[Valor],tbLancamentos[Tipo],"Investimento",tbLancamentos[Mês],"&gt;="&amp;DATE(YEAR($M$3),1,1),tbLancamentos[Mês],"&lt;="&amp;$M$3)</f>
        <v>7254.6799999999994</v>
      </c>
      <c r="I75" s="234"/>
      <c r="J75" s="234"/>
      <c r="K75" s="233">
        <f t="shared" ref="K75" si="8">B75-E75-H75</f>
        <v>13943.989999999918</v>
      </c>
      <c r="L75" s="234"/>
      <c r="M75" s="234"/>
      <c r="N75" s="246">
        <f>IFERROR(INDEX(tbMetas[Já guardado],MATCH("Reserva*",tbMetas[Meta],0))/(E75/MONTH($M$3)),"")</f>
        <v>1.801891084693382</v>
      </c>
      <c r="O75" s="247"/>
      <c r="P75" s="248"/>
    </row>
    <row r="76" spans="2:16" ht="18" customHeight="1" thickBot="1" x14ac:dyDescent="0.4">
      <c r="B76" s="235">
        <f t="shared" ref="B76" si="9">B75/MONTH($M$3)</f>
        <v>6115.6689999999999</v>
      </c>
      <c r="C76" s="236"/>
      <c r="D76" s="236"/>
      <c r="E76" s="235">
        <f t="shared" ref="E76" si="10">E75/MONTH($M$3)</f>
        <v>3995.8020000000083</v>
      </c>
      <c r="F76" s="236"/>
      <c r="G76" s="236"/>
      <c r="H76" s="235">
        <f t="shared" ref="H76" si="11">H75/MONTH($M$3)</f>
        <v>725.46799999999996</v>
      </c>
      <c r="I76" s="236"/>
      <c r="J76" s="236"/>
      <c r="K76" s="244">
        <f t="shared" ref="K76" si="12">IF(B75=0,"",(B75-E75)/B75)</f>
        <v>0.34662879890981541</v>
      </c>
      <c r="L76" s="245"/>
      <c r="M76" s="245"/>
      <c r="N76" s="210" t="str">
        <f t="shared" ref="N76" si="13">"dos seus gastos cobertos (ideal: 6)"</f>
        <v>dos seus gastos cobertos (ideal: 6)</v>
      </c>
      <c r="O76" s="211"/>
      <c r="P76" s="212"/>
    </row>
    <row r="78" spans="2:16" ht="12" customHeight="1" x14ac:dyDescent="0.35"/>
    <row r="79" spans="2:16" ht="22.05" customHeight="1" thickBot="1" x14ac:dyDescent="0.5">
      <c r="B79" s="31" t="s">
        <v>145</v>
      </c>
      <c r="J79" s="31" t="s">
        <v>146</v>
      </c>
    </row>
    <row r="80" spans="2:16" x14ac:dyDescent="0.35">
      <c r="B80" s="38" t="s">
        <v>43</v>
      </c>
      <c r="C80" s="35" t="s">
        <v>44</v>
      </c>
      <c r="D80" s="35"/>
      <c r="E80" s="35"/>
      <c r="F80" s="35" t="s">
        <v>3</v>
      </c>
      <c r="G80" s="35"/>
      <c r="H80" s="36" t="s">
        <v>45</v>
      </c>
      <c r="J80" s="58" t="s">
        <v>153</v>
      </c>
      <c r="K80" s="55"/>
      <c r="L80" s="55"/>
      <c r="M80" s="55"/>
      <c r="N80" s="55"/>
      <c r="O80" s="55"/>
      <c r="P80" s="55"/>
    </row>
    <row r="81" spans="2:16" x14ac:dyDescent="0.35">
      <c r="B81" s="56">
        <f>IF(Calc!$I3="","",INDEX(tbLancamentos[Data],Calc!$I3))</f>
        <v>46305</v>
      </c>
      <c r="C81" s="33" t="str">
        <f>IF(Calc!$I3="","",INDEX(tbLancamentos[Descrição],Calc!$I3))</f>
        <v>Aluguel</v>
      </c>
      <c r="D81" s="33"/>
      <c r="E81" s="33"/>
      <c r="F81" s="51" t="str">
        <f>IF(Calc!$I3="","",INDEX(tbLancamentos[Categoria],Calc!$I3))</f>
        <v>Moradia</v>
      </c>
      <c r="G81" s="33"/>
      <c r="H81" s="52">
        <f>IF(Calc!$I3="","",INDEX(tbLancamentos[Valor],Calc!$I3))</f>
        <v>1200</v>
      </c>
      <c r="J81" s="40" t="s">
        <v>147</v>
      </c>
      <c r="K81" s="33"/>
      <c r="L81" s="33"/>
      <c r="M81" s="33"/>
      <c r="N81" s="33"/>
      <c r="O81" s="239">
        <f t="shared" ref="O81" ca="1" si="14">IF(AND(YEAR(TODAY())=YEAR($M$3),MONTH(TODAY())=MONTH($M$3)),DAY(TODAY()),DAY(EOMONTH($M$3,0)))</f>
        <v>26</v>
      </c>
      <c r="P81" s="239"/>
    </row>
    <row r="82" spans="2:16" x14ac:dyDescent="0.35">
      <c r="B82" s="56">
        <f>IF(Calc!$I4="","",INDEX(tbLancamentos[Data],Calc!$I4))</f>
        <v>46308</v>
      </c>
      <c r="C82" s="33" t="str">
        <f>IF(Calc!$I4="","",INDEX(tbLancamentos[Descrição],Calc!$I4))</f>
        <v>Livros</v>
      </c>
      <c r="D82" s="33"/>
      <c r="E82" s="33"/>
      <c r="F82" s="51" t="str">
        <f>IF(Calc!$I4="","",INDEX(tbLancamentos[Categoria],Calc!$I4))</f>
        <v>Compras</v>
      </c>
      <c r="G82" s="33"/>
      <c r="H82" s="52">
        <f>IF(Calc!$I4="","",INDEX(tbLancamentos[Valor],Calc!$I4))</f>
        <v>406.92</v>
      </c>
      <c r="J82" s="40" t="s">
        <v>148</v>
      </c>
      <c r="K82" s="33"/>
      <c r="L82" s="33"/>
      <c r="M82" s="33"/>
      <c r="N82" s="33"/>
      <c r="O82" s="240">
        <f t="shared" ref="O82" ca="1" si="15">IF(N(O81)=0,0,E7/O81)</f>
        <v>157.50000000000003</v>
      </c>
      <c r="P82" s="240"/>
    </row>
    <row r="83" spans="2:16" x14ac:dyDescent="0.35">
      <c r="B83" s="56">
        <f>IF(Calc!$I5="","",INDEX(tbLancamentos[Data],Calc!$I5))</f>
        <v>46299</v>
      </c>
      <c r="C83" s="33" t="str">
        <f>IF(Calc!$I5="","",INDEX(tbLancamentos[Descrição],Calc!$I5))</f>
        <v>Supermercado</v>
      </c>
      <c r="D83" s="33"/>
      <c r="E83" s="33"/>
      <c r="F83" s="51" t="str">
        <f>IF(Calc!$I5="","",INDEX(tbLancamentos[Categoria],Calc!$I5))</f>
        <v>Mercado</v>
      </c>
      <c r="G83" s="33"/>
      <c r="H83" s="52">
        <f>IF(Calc!$I5="","",INDEX(tbLancamentos[Valor],Calc!$I5))</f>
        <v>318.36</v>
      </c>
      <c r="J83" s="40" t="s">
        <v>149</v>
      </c>
      <c r="K83" s="33"/>
      <c r="L83" s="33"/>
      <c r="M83" s="33"/>
      <c r="N83" s="33"/>
      <c r="O83" s="241">
        <f t="shared" ref="O83" ca="1" si="16">O82*DAY(EOMONTH($M$3,0))</f>
        <v>4882.5000000000009</v>
      </c>
      <c r="P83" s="241"/>
    </row>
    <row r="84" spans="2:16" x14ac:dyDescent="0.35">
      <c r="B84" s="56">
        <f>IF(Calc!$I6="","",INDEX(tbLancamentos[Data],Calc!$I6))</f>
        <v>46306</v>
      </c>
      <c r="C84" s="33" t="str">
        <f>IF(Calc!$I6="","",INDEX(tbLancamentos[Descrição],Calc!$I6))</f>
        <v>Supermercado</v>
      </c>
      <c r="D84" s="33"/>
      <c r="E84" s="33"/>
      <c r="F84" s="51" t="str">
        <f>IF(Calc!$I6="","",INDEX(tbLancamentos[Categoria],Calc!$I6))</f>
        <v>Mercado</v>
      </c>
      <c r="G84" s="33"/>
      <c r="H84" s="52">
        <f>IF(Calc!$I6="","",INDEX(tbLancamentos[Valor],Calc!$I6))</f>
        <v>308.89999999999998</v>
      </c>
      <c r="J84" s="40" t="s">
        <v>150</v>
      </c>
      <c r="K84" s="33"/>
      <c r="L84" s="33"/>
      <c r="M84" s="33"/>
      <c r="N84" s="33"/>
      <c r="O84" s="241">
        <f>SUMIFS(tbCategorias[Orçamento mensal],tbCategorias[Tipo],"Despesa")</f>
        <v>4540</v>
      </c>
      <c r="P84" s="241"/>
    </row>
    <row r="85" spans="2:16" x14ac:dyDescent="0.35">
      <c r="B85" s="56">
        <f>IF(Calc!$I7="","",INDEX(tbLancamentos[Data],Calc!$I7))</f>
        <v>46307</v>
      </c>
      <c r="C85" s="33" t="str">
        <f>IF(Calc!$I7="","",INDEX(tbLancamentos[Descrição],Calc!$I7))</f>
        <v>Conta de luz</v>
      </c>
      <c r="D85" s="33"/>
      <c r="E85" s="33"/>
      <c r="F85" s="51" t="str">
        <f>IF(Calc!$I7="","",INDEX(tbLancamentos[Categoria],Calc!$I7))</f>
        <v>Contas da casa</v>
      </c>
      <c r="G85" s="33"/>
      <c r="H85" s="52">
        <f>IF(Calc!$I7="","",INDEX(tbLancamentos[Valor],Calc!$I7))</f>
        <v>165.63</v>
      </c>
      <c r="J85" s="40" t="s">
        <v>151</v>
      </c>
      <c r="K85" s="33"/>
      <c r="L85" s="33"/>
      <c r="M85" s="33"/>
      <c r="N85" s="33"/>
      <c r="O85" s="242">
        <f t="shared" ref="O85" ca="1" si="17">IF(N(O84)=0,"",O83/O84)</f>
        <v>1.0754405286343613</v>
      </c>
      <c r="P85" s="242"/>
    </row>
    <row r="86" spans="2:16" x14ac:dyDescent="0.35">
      <c r="B86" s="56">
        <f>IF(Calc!$I8="","",INDEX(tbLancamentos[Data],Calc!$I8))</f>
        <v>46312</v>
      </c>
      <c r="C86" s="33" t="str">
        <f>IF(Calc!$I8="","",INDEX(tbLancamentos[Descrição],Calc!$I8))</f>
        <v>Padaria</v>
      </c>
      <c r="D86" s="33"/>
      <c r="E86" s="33"/>
      <c r="F86" s="51" t="str">
        <f>IF(Calc!$I8="","",INDEX(tbLancamentos[Categoria],Calc!$I8))</f>
        <v>Mercado</v>
      </c>
      <c r="G86" s="33"/>
      <c r="H86" s="52">
        <f>IF(Calc!$I8="","",INDEX(tbLancamentos[Valor],Calc!$I8))</f>
        <v>160.93</v>
      </c>
      <c r="J86" s="40" t="s">
        <v>152</v>
      </c>
      <c r="K86" s="33"/>
      <c r="L86" s="33"/>
      <c r="M86" s="33"/>
      <c r="N86" s="33"/>
      <c r="O86" s="243">
        <f t="shared" ref="O86" si="18">COUNTIFS(G29:G43,"&gt;1",B29:B43,"&lt;&gt;Investimentos")</f>
        <v>2</v>
      </c>
      <c r="P86" s="243"/>
    </row>
    <row r="87" spans="2:16" x14ac:dyDescent="0.35">
      <c r="B87" s="57">
        <f>IF(Calc!$I9="","",INDEX(tbLancamentos[Data],Calc!$I9))</f>
        <v>46314</v>
      </c>
      <c r="C87" s="34" t="str">
        <f>IF(Calc!$I9="","",INDEX(tbLancamentos[Descrição],Calc!$I9))</f>
        <v>Combustível</v>
      </c>
      <c r="D87" s="34"/>
      <c r="E87" s="34"/>
      <c r="F87" s="53" t="str">
        <f>IF(Calc!$I9="","",INDEX(tbLancamentos[Categoria],Calc!$I9))</f>
        <v>Transporte</v>
      </c>
      <c r="G87" s="34"/>
      <c r="H87" s="54">
        <f>IF(Calc!$I9="","",INDEX(tbLancamentos[Valor],Calc!$I9))</f>
        <v>153.36000000000001</v>
      </c>
      <c r="J87" s="41" t="s">
        <v>297</v>
      </c>
      <c r="K87" s="34"/>
      <c r="L87" s="34"/>
      <c r="M87" s="34"/>
      <c r="N87" s="34"/>
      <c r="O87" s="238">
        <f>SUMPRODUCT(tbContas[Valor previsto]*(SUMIFS(tbLancamentos[Valor],tbLancamentos[Mês],$M$3,tbLancamentos[Descrição],tbContas[Conta])=0))</f>
        <v>75</v>
      </c>
      <c r="P87" s="238"/>
    </row>
    <row r="89" spans="2:16" ht="12" customHeight="1" x14ac:dyDescent="0.35"/>
    <row r="90" spans="2:16" ht="22.05" customHeight="1" thickBot="1" x14ac:dyDescent="0.5">
      <c r="B90" s="31" t="s">
        <v>154</v>
      </c>
    </row>
    <row r="91" spans="2:16" x14ac:dyDescent="0.35">
      <c r="B91" s="67" t="s">
        <v>3</v>
      </c>
      <c r="C91" s="61"/>
      <c r="D91" s="62">
        <f>INDEX(Resumo!$B$7:$B$18,COLUMNS($D91:D91))</f>
        <v>46023</v>
      </c>
      <c r="E91" s="62">
        <f>INDEX(Resumo!$B$7:$B$18,COLUMNS($D91:E91))</f>
        <v>46054</v>
      </c>
      <c r="F91" s="62">
        <f>INDEX(Resumo!$B$7:$B$18,COLUMNS($D91:F91))</f>
        <v>46082</v>
      </c>
      <c r="G91" s="62">
        <f>INDEX(Resumo!$B$7:$B$18,COLUMNS($D91:G91))</f>
        <v>46113</v>
      </c>
      <c r="H91" s="62">
        <f>INDEX(Resumo!$B$7:$B$18,COLUMNS($D91:H91))</f>
        <v>46143</v>
      </c>
      <c r="I91" s="62">
        <f>INDEX(Resumo!$B$7:$B$18,COLUMNS($D91:I91))</f>
        <v>46174</v>
      </c>
      <c r="J91" s="62">
        <f>INDEX(Resumo!$B$7:$B$18,COLUMNS($D91:J91))</f>
        <v>46204</v>
      </c>
      <c r="K91" s="62">
        <f>INDEX(Resumo!$B$7:$B$18,COLUMNS($D91:K91))</f>
        <v>46235</v>
      </c>
      <c r="L91" s="62">
        <f>INDEX(Resumo!$B$7:$B$18,COLUMNS($D91:L91))</f>
        <v>46266</v>
      </c>
      <c r="M91" s="62">
        <f>INDEX(Resumo!$B$7:$B$18,COLUMNS($D91:M91))</f>
        <v>46296</v>
      </c>
      <c r="N91" s="62">
        <f>INDEX(Resumo!$B$7:$B$18,COLUMNS($D91:N91))</f>
        <v>46327</v>
      </c>
      <c r="O91" s="62">
        <f>INDEX(Resumo!$B$7:$B$18,COLUMNS($D91:O91))</f>
        <v>46357</v>
      </c>
      <c r="P91" s="63" t="s">
        <v>113</v>
      </c>
    </row>
    <row r="92" spans="2:16" x14ac:dyDescent="0.35">
      <c r="B92" s="68" t="str">
        <f t="shared" ref="B92:B106" si="19">B29</f>
        <v>Moradia</v>
      </c>
      <c r="C92" s="59"/>
      <c r="D92" s="60">
        <f>IF($B92="","",SUMIFS(tbLancamentos[Valor],tbLancamentos[Categoria],$B92,tbLancamentos[Mês],D$91))</f>
        <v>1200</v>
      </c>
      <c r="E92" s="60">
        <f>IF($B92="","",SUMIFS(tbLancamentos[Valor],tbLancamentos[Categoria],$B92,tbLancamentos[Mês],E$91))</f>
        <v>1200</v>
      </c>
      <c r="F92" s="60">
        <f>IF($B92="","",SUMIFS(tbLancamentos[Valor],tbLancamentos[Categoria],$B92,tbLancamentos[Mês],F$91))</f>
        <v>1200</v>
      </c>
      <c r="G92" s="60">
        <f>IF($B92="","",SUMIFS(tbLancamentos[Valor],tbLancamentos[Categoria],$B92,tbLancamentos[Mês],G$91))</f>
        <v>1200</v>
      </c>
      <c r="H92" s="60">
        <f>IF($B92="","",SUMIFS(tbLancamentos[Valor],tbLancamentos[Categoria],$B92,tbLancamentos[Mês],H$91))</f>
        <v>1200</v>
      </c>
      <c r="I92" s="60">
        <f>IF($B92="","",SUMIFS(tbLancamentos[Valor],tbLancamentos[Categoria],$B92,tbLancamentos[Mês],I$91))</f>
        <v>1200</v>
      </c>
      <c r="J92" s="60">
        <f>IF($B92="","",SUMIFS(tbLancamentos[Valor],tbLancamentos[Categoria],$B92,tbLancamentos[Mês],J$91))</f>
        <v>1200</v>
      </c>
      <c r="K92" s="60">
        <f>IF($B92="","",SUMIFS(tbLancamentos[Valor],tbLancamentos[Categoria],$B92,tbLancamentos[Mês],K$91))</f>
        <v>1200</v>
      </c>
      <c r="L92" s="60">
        <f>IF($B92="","",SUMIFS(tbLancamentos[Valor],tbLancamentos[Categoria],$B92,tbLancamentos[Mês],L$91))</f>
        <v>1200</v>
      </c>
      <c r="M92" s="60">
        <f>IF($B92="","",SUMIFS(tbLancamentos[Valor],tbLancamentos[Categoria],$B92,tbLancamentos[Mês],M$91))</f>
        <v>1200</v>
      </c>
      <c r="N92" s="60">
        <f>IF($B92="","",SUMIFS(tbLancamentos[Valor],tbLancamentos[Categoria],$B92,tbLancamentos[Mês],N$91))</f>
        <v>0</v>
      </c>
      <c r="O92" s="60">
        <f>IF($B92="","",SUMIFS(tbLancamentos[Valor],tbLancamentos[Categoria],$B92,tbLancamentos[Mês],O$91))</f>
        <v>0</v>
      </c>
      <c r="P92" s="64">
        <f t="shared" ref="P92:P106" si="20">IF($B92="","",SUM(D92:O92))</f>
        <v>12000</v>
      </c>
    </row>
    <row r="93" spans="2:16" x14ac:dyDescent="0.35">
      <c r="B93" s="68" t="str">
        <f t="shared" si="19"/>
        <v>Contas da casa</v>
      </c>
      <c r="C93" s="59"/>
      <c r="D93" s="60">
        <f>IF($B93="","",SUMIFS(tbLancamentos[Valor],tbLancamentos[Categoria],$B93,tbLancamentos[Mês],D$91))</f>
        <v>392.78999999999996</v>
      </c>
      <c r="E93" s="60">
        <f>IF($B93="","",SUMIFS(tbLancamentos[Valor],tbLancamentos[Categoria],$B93,tbLancamentos[Mês],E$91))</f>
        <v>369.92999999999995</v>
      </c>
      <c r="F93" s="60">
        <f>IF($B93="","",SUMIFS(tbLancamentos[Valor],tbLancamentos[Categoria],$B93,tbLancamentos[Mês],F$91))</f>
        <v>427.65</v>
      </c>
      <c r="G93" s="60">
        <f>IF($B93="","",SUMIFS(tbLancamentos[Valor],tbLancamentos[Categoria],$B93,tbLancamentos[Mês],G$91))</f>
        <v>394.53999999999996</v>
      </c>
      <c r="H93" s="60">
        <f>IF($B93="","",SUMIFS(tbLancamentos[Valor],tbLancamentos[Categoria],$B93,tbLancamentos[Mês],H$91))</f>
        <v>442.77</v>
      </c>
      <c r="I93" s="60">
        <f>IF($B93="","",SUMIFS(tbLancamentos[Valor],tbLancamentos[Categoria],$B93,tbLancamentos[Mês],I$91))</f>
        <v>424.36</v>
      </c>
      <c r="J93" s="60">
        <f>IF($B93="","",SUMIFS(tbLancamentos[Valor],tbLancamentos[Categoria],$B93,tbLancamentos[Mês],J$91))</f>
        <v>402.65</v>
      </c>
      <c r="K93" s="60">
        <f>IF($B93="","",SUMIFS(tbLancamentos[Valor],tbLancamentos[Categoria],$B93,tbLancamentos[Mês],K$91))</f>
        <v>430.62</v>
      </c>
      <c r="L93" s="60">
        <f>IF($B93="","",SUMIFS(tbLancamentos[Valor],tbLancamentos[Categoria],$B93,tbLancamentos[Mês],L$91))</f>
        <v>412.52</v>
      </c>
      <c r="M93" s="60">
        <f>IF($B93="","",SUMIFS(tbLancamentos[Valor],tbLancamentos[Categoria],$B93,tbLancamentos[Mês],M$91))</f>
        <v>395.04999999999995</v>
      </c>
      <c r="N93" s="60">
        <f>IF($B93="","",SUMIFS(tbLancamentos[Valor],tbLancamentos[Categoria],$B93,tbLancamentos[Mês],N$91))</f>
        <v>0</v>
      </c>
      <c r="O93" s="60">
        <f>IF($B93="","",SUMIFS(tbLancamentos[Valor],tbLancamentos[Categoria],$B93,tbLancamentos[Mês],O$91))</f>
        <v>0</v>
      </c>
      <c r="P93" s="64">
        <f t="shared" si="20"/>
        <v>4092.88</v>
      </c>
    </row>
    <row r="94" spans="2:16" x14ac:dyDescent="0.35">
      <c r="B94" s="68" t="str">
        <f t="shared" si="19"/>
        <v>Mercado</v>
      </c>
      <c r="C94" s="59"/>
      <c r="D94" s="60">
        <f>IF($B94="","",SUMIFS(tbLancamentos[Valor],tbLancamentos[Categoria],$B94,tbLancamentos[Mês],D$91))</f>
        <v>719.18000000000006</v>
      </c>
      <c r="E94" s="60">
        <f>IF($B94="","",SUMIFS(tbLancamentos[Valor],tbLancamentos[Categoria],$B94,tbLancamentos[Mês],E$91))</f>
        <v>887.21</v>
      </c>
      <c r="F94" s="60">
        <f>IF($B94="","",SUMIFS(tbLancamentos[Valor],tbLancamentos[Categoria],$B94,tbLancamentos[Mês],F$91))</f>
        <v>791.68000000000006</v>
      </c>
      <c r="G94" s="60">
        <f>IF($B94="","",SUMIFS(tbLancamentos[Valor],tbLancamentos[Categoria],$B94,tbLancamentos[Mês],G$91))</f>
        <v>987.88</v>
      </c>
      <c r="H94" s="60">
        <f>IF($B94="","",SUMIFS(tbLancamentos[Valor],tbLancamentos[Categoria],$B94,tbLancamentos[Mês],H$91))</f>
        <v>924.97</v>
      </c>
      <c r="I94" s="60">
        <f>IF($B94="","",SUMIFS(tbLancamentos[Valor],tbLancamentos[Categoria],$B94,tbLancamentos[Mês],I$91))</f>
        <v>1126.54</v>
      </c>
      <c r="J94" s="60">
        <f>IF($B94="","",SUMIFS(tbLancamentos[Valor],tbLancamentos[Categoria],$B94,tbLancamentos[Mês],J$91))</f>
        <v>957.68000000000006</v>
      </c>
      <c r="K94" s="60">
        <f>IF($B94="","",SUMIFS(tbLancamentos[Valor],tbLancamentos[Categoria],$B94,tbLancamentos[Mês],K$91))</f>
        <v>952.2</v>
      </c>
      <c r="L94" s="60">
        <f>IF($B94="","",SUMIFS(tbLancamentos[Valor],tbLancamentos[Categoria],$B94,tbLancamentos[Mês],L$91))</f>
        <v>712.45</v>
      </c>
      <c r="M94" s="60">
        <f>IF($B94="","",SUMIFS(tbLancamentos[Valor],tbLancamentos[Categoria],$B94,tbLancamentos[Mês],M$91))</f>
        <v>908.6</v>
      </c>
      <c r="N94" s="60">
        <f>IF($B94="","",SUMIFS(tbLancamentos[Valor],tbLancamentos[Categoria],$B94,tbLancamentos[Mês],N$91))</f>
        <v>0</v>
      </c>
      <c r="O94" s="60">
        <f>IF($B94="","",SUMIFS(tbLancamentos[Valor],tbLancamentos[Categoria],$B94,tbLancamentos[Mês],O$91))</f>
        <v>0</v>
      </c>
      <c r="P94" s="64">
        <f t="shared" si="20"/>
        <v>8968.39</v>
      </c>
    </row>
    <row r="95" spans="2:16" x14ac:dyDescent="0.35">
      <c r="B95" s="68" t="str">
        <f t="shared" si="19"/>
        <v>Transporte</v>
      </c>
      <c r="C95" s="59"/>
      <c r="D95" s="60">
        <f>IF($B95="","",SUMIFS(tbLancamentos[Valor],tbLancamentos[Categoria],$B95,tbLancamentos[Mês],D$91))</f>
        <v>322.88</v>
      </c>
      <c r="E95" s="60">
        <f>IF($B95="","",SUMIFS(tbLancamentos[Valor],tbLancamentos[Categoria],$B95,tbLancamentos[Mês],E$91))</f>
        <v>269.38</v>
      </c>
      <c r="F95" s="60">
        <f>IF($B95="","",SUMIFS(tbLancamentos[Valor],tbLancamentos[Categoria],$B95,tbLancamentos[Mês],F$91))</f>
        <v>369.33000000000004</v>
      </c>
      <c r="G95" s="60">
        <f>IF($B95="","",SUMIFS(tbLancamentos[Valor],tbLancamentos[Categoria],$B95,tbLancamentos[Mês],G$91))</f>
        <v>314.51</v>
      </c>
      <c r="H95" s="60">
        <f>IF($B95="","",SUMIFS(tbLancamentos[Valor],tbLancamentos[Categoria],$B95,tbLancamentos[Mês],H$91))</f>
        <v>341.78</v>
      </c>
      <c r="I95" s="60">
        <f>IF($B95="","",SUMIFS(tbLancamentos[Valor],tbLancamentos[Categoria],$B95,tbLancamentos[Mês],I$91))</f>
        <v>277.92</v>
      </c>
      <c r="J95" s="60">
        <f>IF($B95="","",SUMIFS(tbLancamentos[Valor],tbLancamentos[Categoria],$B95,tbLancamentos[Mês],J$91))</f>
        <v>341.74999999999994</v>
      </c>
      <c r="K95" s="60">
        <f>IF($B95="","",SUMIFS(tbLancamentos[Valor],tbLancamentos[Categoria],$B95,tbLancamentos[Mês],K$91))</f>
        <v>303.57</v>
      </c>
      <c r="L95" s="60">
        <f>IF($B95="","",SUMIFS(tbLancamentos[Valor],tbLancamentos[Categoria],$B95,tbLancamentos[Mês],L$91))</f>
        <v>284.64</v>
      </c>
      <c r="M95" s="60">
        <f>IF($B95="","",SUMIFS(tbLancamentos[Valor],tbLancamentos[Categoria],$B95,tbLancamentos[Mês],M$91))</f>
        <v>314.62</v>
      </c>
      <c r="N95" s="60">
        <f>IF($B95="","",SUMIFS(tbLancamentos[Valor],tbLancamentos[Categoria],$B95,tbLancamentos[Mês],N$91))</f>
        <v>0</v>
      </c>
      <c r="O95" s="60">
        <f>IF($B95="","",SUMIFS(tbLancamentos[Valor],tbLancamentos[Categoria],$B95,tbLancamentos[Mês],O$91))</f>
        <v>0</v>
      </c>
      <c r="P95" s="64">
        <f t="shared" si="20"/>
        <v>3140.3799999999997</v>
      </c>
    </row>
    <row r="96" spans="2:16" x14ac:dyDescent="0.35">
      <c r="B96" s="68" t="str">
        <f t="shared" si="19"/>
        <v>Saúde</v>
      </c>
      <c r="C96" s="59"/>
      <c r="D96" s="60">
        <f>IF($B96="","",SUMIFS(tbLancamentos[Valor],tbLancamentos[Categoria],$B96,tbLancamentos[Mês],D$91))</f>
        <v>159.80000000000001</v>
      </c>
      <c r="E96" s="60">
        <f>IF($B96="","",SUMIFS(tbLancamentos[Valor],tbLancamentos[Categoria],$B96,tbLancamentos[Mês],E$91))</f>
        <v>252.27</v>
      </c>
      <c r="F96" s="60">
        <f>IF($B96="","",SUMIFS(tbLancamentos[Valor],tbLancamentos[Categoria],$B96,tbLancamentos[Mês],F$91))</f>
        <v>266.74</v>
      </c>
      <c r="G96" s="60">
        <f>IF($B96="","",SUMIFS(tbLancamentos[Valor],tbLancamentos[Categoria],$B96,tbLancamentos[Mês],G$91))</f>
        <v>159.80000000000001</v>
      </c>
      <c r="H96" s="60">
        <f>IF($B96="","",SUMIFS(tbLancamentos[Valor],tbLancamentos[Categoria],$B96,tbLancamentos[Mês],H$91))</f>
        <v>159.80000000000001</v>
      </c>
      <c r="I96" s="60">
        <f>IF($B96="","",SUMIFS(tbLancamentos[Valor],tbLancamentos[Categoria],$B96,tbLancamentos[Mês],I$91))</f>
        <v>159.80000000000001</v>
      </c>
      <c r="J96" s="60">
        <f>IF($B96="","",SUMIFS(tbLancamentos[Valor],tbLancamentos[Categoria],$B96,tbLancamentos[Mês],J$91))</f>
        <v>159.80000000000001</v>
      </c>
      <c r="K96" s="60">
        <f>IF($B96="","",SUMIFS(tbLancamentos[Valor],tbLancamentos[Categoria],$B96,tbLancamentos[Mês],K$91))</f>
        <v>159.80000000000001</v>
      </c>
      <c r="L96" s="60">
        <f>IF($B96="","",SUMIFS(tbLancamentos[Valor],tbLancamentos[Categoria],$B96,tbLancamentos[Mês],L$91))</f>
        <v>204.65</v>
      </c>
      <c r="M96" s="60">
        <f>IF($B96="","",SUMIFS(tbLancamentos[Valor],tbLancamentos[Categoria],$B96,tbLancamentos[Mês],M$91))</f>
        <v>209.23000000000002</v>
      </c>
      <c r="N96" s="60">
        <f>IF($B96="","",SUMIFS(tbLancamentos[Valor],tbLancamentos[Categoria],$B96,tbLancamentos[Mês],N$91))</f>
        <v>0</v>
      </c>
      <c r="O96" s="60">
        <f>IF($B96="","",SUMIFS(tbLancamentos[Valor],tbLancamentos[Categoria],$B96,tbLancamentos[Mês],O$91))</f>
        <v>0</v>
      </c>
      <c r="P96" s="64">
        <f t="shared" si="20"/>
        <v>1891.69</v>
      </c>
    </row>
    <row r="97" spans="2:16" x14ac:dyDescent="0.35">
      <c r="B97" s="68" t="str">
        <f t="shared" si="19"/>
        <v>Educação</v>
      </c>
      <c r="C97" s="59"/>
      <c r="D97" s="60">
        <f>IF($B97="","",SUMIFS(tbLancamentos[Valor],tbLancamentos[Categoria],$B97,tbLancamentos[Mês],D$91))</f>
        <v>79.900000000000006</v>
      </c>
      <c r="E97" s="60">
        <f>IF($B97="","",SUMIFS(tbLancamentos[Valor],tbLancamentos[Categoria],$B97,tbLancamentos[Mês],E$91))</f>
        <v>79.900000000000006</v>
      </c>
      <c r="F97" s="60">
        <f>IF($B97="","",SUMIFS(tbLancamentos[Valor],tbLancamentos[Categoria],$B97,tbLancamentos[Mês],F$91))</f>
        <v>79.900000000000006</v>
      </c>
      <c r="G97" s="60">
        <f>IF($B97="","",SUMIFS(tbLancamentos[Valor],tbLancamentos[Categoria],$B97,tbLancamentos[Mês],G$91))</f>
        <v>79.900000000000006</v>
      </c>
      <c r="H97" s="60">
        <f>IF($B97="","",SUMIFS(tbLancamentos[Valor],tbLancamentos[Categoria],$B97,tbLancamentos[Mês],H$91))</f>
        <v>79.900000000000006</v>
      </c>
      <c r="I97" s="60">
        <f>IF($B97="","",SUMIFS(tbLancamentos[Valor],tbLancamentos[Categoria],$B97,tbLancamentos[Mês],I$91))</f>
        <v>79.900000000000006</v>
      </c>
      <c r="J97" s="60">
        <f>IF($B97="","",SUMIFS(tbLancamentos[Valor],tbLancamentos[Categoria],$B97,tbLancamentos[Mês],J$91))</f>
        <v>79.900000000000006</v>
      </c>
      <c r="K97" s="60">
        <f>IF($B97="","",SUMIFS(tbLancamentos[Valor],tbLancamentos[Categoria],$B97,tbLancamentos[Mês],K$91))</f>
        <v>79.900000000000006</v>
      </c>
      <c r="L97" s="60">
        <f>IF($B97="","",SUMIFS(tbLancamentos[Valor],tbLancamentos[Categoria],$B97,tbLancamentos[Mês],L$91))</f>
        <v>79.900000000000006</v>
      </c>
      <c r="M97" s="60">
        <f>IF($B97="","",SUMIFS(tbLancamentos[Valor],tbLancamentos[Categoria],$B97,tbLancamentos[Mês],M$91))</f>
        <v>79.900000000000006</v>
      </c>
      <c r="N97" s="60">
        <f>IF($B97="","",SUMIFS(tbLancamentos[Valor],tbLancamentos[Categoria],$B97,tbLancamentos[Mês],N$91))</f>
        <v>0</v>
      </c>
      <c r="O97" s="60">
        <f>IF($B97="","",SUMIFS(tbLancamentos[Valor],tbLancamentos[Categoria],$B97,tbLancamentos[Mês],O$91))</f>
        <v>0</v>
      </c>
      <c r="P97" s="64">
        <f t="shared" si="20"/>
        <v>798.99999999999989</v>
      </c>
    </row>
    <row r="98" spans="2:16" x14ac:dyDescent="0.35">
      <c r="B98" s="68" t="str">
        <f t="shared" si="19"/>
        <v>Restaurantes e delivery</v>
      </c>
      <c r="C98" s="59"/>
      <c r="D98" s="60">
        <f>IF($B98="","",SUMIFS(tbLancamentos[Valor],tbLancamentos[Categoria],$B98,tbLancamentos[Mês],D$91))</f>
        <v>278.23</v>
      </c>
      <c r="E98" s="60">
        <f>IF($B98="","",SUMIFS(tbLancamentos[Valor],tbLancamentos[Categoria],$B98,tbLancamentos[Mês],E$91))</f>
        <v>333.88</v>
      </c>
      <c r="F98" s="60">
        <f>IF($B98="","",SUMIFS(tbLancamentos[Valor],tbLancamentos[Categoria],$B98,tbLancamentos[Mês],F$91))</f>
        <v>327.96000000000004</v>
      </c>
      <c r="G98" s="60">
        <f>IF($B98="","",SUMIFS(tbLancamentos[Valor],tbLancamentos[Categoria],$B98,tbLancamentos[Mês],G$91))</f>
        <v>247.14999999999998</v>
      </c>
      <c r="H98" s="60">
        <f>IF($B98="","",SUMIFS(tbLancamentos[Valor],tbLancamentos[Categoria],$B98,tbLancamentos[Mês],H$91))</f>
        <v>244.17000000000002</v>
      </c>
      <c r="I98" s="60">
        <f>IF($B98="","",SUMIFS(tbLancamentos[Valor],tbLancamentos[Categoria],$B98,tbLancamentos[Mês],I$91))</f>
        <v>341.56</v>
      </c>
      <c r="J98" s="60">
        <f>IF($B98="","",SUMIFS(tbLancamentos[Valor],tbLancamentos[Categoria],$B98,tbLancamentos[Mês],J$91))</f>
        <v>403.46</v>
      </c>
      <c r="K98" s="60">
        <f>IF($B98="","",SUMIFS(tbLancamentos[Valor],tbLancamentos[Categoria],$B98,tbLancamentos[Mês],K$91))</f>
        <v>274.64</v>
      </c>
      <c r="L98" s="60">
        <f>IF($B98="","",SUMIFS(tbLancamentos[Valor],tbLancamentos[Categoria],$B98,tbLancamentos[Mês],L$91))</f>
        <v>312.91999999999996</v>
      </c>
      <c r="M98" s="60">
        <f>IF($B98="","",SUMIFS(tbLancamentos[Valor],tbLancamentos[Categoria],$B98,tbLancamentos[Mês],M$91))</f>
        <v>206.14000000000001</v>
      </c>
      <c r="N98" s="60">
        <f>IF($B98="","",SUMIFS(tbLancamentos[Valor],tbLancamentos[Categoria],$B98,tbLancamentos[Mês],N$91))</f>
        <v>0</v>
      </c>
      <c r="O98" s="60">
        <f>IF($B98="","",SUMIFS(tbLancamentos[Valor],tbLancamentos[Categoria],$B98,tbLancamentos[Mês],O$91))</f>
        <v>0</v>
      </c>
      <c r="P98" s="64">
        <f t="shared" si="20"/>
        <v>2970.1099999999997</v>
      </c>
    </row>
    <row r="99" spans="2:16" x14ac:dyDescent="0.35">
      <c r="B99" s="68" t="str">
        <f t="shared" si="19"/>
        <v>Lazer</v>
      </c>
      <c r="C99" s="59"/>
      <c r="D99" s="60">
        <f>IF($B99="","",SUMIFS(tbLancamentos[Valor],tbLancamentos[Categoria],$B99,tbLancamentos[Mês],D$91))</f>
        <v>135.1</v>
      </c>
      <c r="E99" s="60">
        <f>IF($B99="","",SUMIFS(tbLancamentos[Valor],tbLancamentos[Categoria],$B99,tbLancamentos[Mês],E$91))</f>
        <v>312.67</v>
      </c>
      <c r="F99" s="60">
        <f>IF($B99="","",SUMIFS(tbLancamentos[Valor],tbLancamentos[Categoria],$B99,tbLancamentos[Mês],F$91))</f>
        <v>297.65999999999997</v>
      </c>
      <c r="G99" s="60">
        <f>IF($B99="","",SUMIFS(tbLancamentos[Valor],tbLancamentos[Categoria],$B99,tbLancamentos[Mês],G$91))</f>
        <v>172.24</v>
      </c>
      <c r="H99" s="60">
        <f>IF($B99="","",SUMIFS(tbLancamentos[Valor],tbLancamentos[Categoria],$B99,tbLancamentos[Mês],H$91))</f>
        <v>234.03</v>
      </c>
      <c r="I99" s="60">
        <f>IF($B99="","",SUMIFS(tbLancamentos[Valor],tbLancamentos[Categoria],$B99,tbLancamentos[Mês],I$91))</f>
        <v>277.37</v>
      </c>
      <c r="J99" s="60">
        <f>IF($B99="","",SUMIFS(tbLancamentos[Valor],tbLancamentos[Categoria],$B99,tbLancamentos[Mês],J$91))</f>
        <v>142.92000000000002</v>
      </c>
      <c r="K99" s="60">
        <f>IF($B99="","",SUMIFS(tbLancamentos[Valor],tbLancamentos[Categoria],$B99,tbLancamentos[Mês],K$91))</f>
        <v>225.35000000000002</v>
      </c>
      <c r="L99" s="60">
        <f>IF($B99="","",SUMIFS(tbLancamentos[Valor],tbLancamentos[Categoria],$B99,tbLancamentos[Mês],L$91))</f>
        <v>243.03</v>
      </c>
      <c r="M99" s="60">
        <f>IF($B99="","",SUMIFS(tbLancamentos[Valor],tbLancamentos[Categoria],$B99,tbLancamentos[Mês],M$91))</f>
        <v>178.11</v>
      </c>
      <c r="N99" s="60">
        <f>IF($B99="","",SUMIFS(tbLancamentos[Valor],tbLancamentos[Categoria],$B99,tbLancamentos[Mês],N$91))</f>
        <v>0</v>
      </c>
      <c r="O99" s="60">
        <f>IF($B99="","",SUMIFS(tbLancamentos[Valor],tbLancamentos[Categoria],$B99,tbLancamentos[Mês],O$91))</f>
        <v>0</v>
      </c>
      <c r="P99" s="64">
        <f t="shared" si="20"/>
        <v>2218.48</v>
      </c>
    </row>
    <row r="100" spans="2:16" x14ac:dyDescent="0.35">
      <c r="B100" s="68" t="str">
        <f t="shared" si="19"/>
        <v>Assinaturas</v>
      </c>
      <c r="C100" s="59"/>
      <c r="D100" s="60">
        <f>IF($B100="","",SUMIFS(tbLancamentos[Valor],tbLancamentos[Categoria],$B100,tbLancamentos[Mês],D$91))</f>
        <v>66.8</v>
      </c>
      <c r="E100" s="60">
        <f>IF($B100="","",SUMIFS(tbLancamentos[Valor],tbLancamentos[Categoria],$B100,tbLancamentos[Mês],E$91))</f>
        <v>66.8</v>
      </c>
      <c r="F100" s="60">
        <f>IF($B100="","",SUMIFS(tbLancamentos[Valor],tbLancamentos[Categoria],$B100,tbLancamentos[Mês],F$91))</f>
        <v>66.8</v>
      </c>
      <c r="G100" s="60">
        <f>IF($B100="","",SUMIFS(tbLancamentos[Valor],tbLancamentos[Categoria],$B100,tbLancamentos[Mês],G$91))</f>
        <v>66.8</v>
      </c>
      <c r="H100" s="60">
        <f>IF($B100="","",SUMIFS(tbLancamentos[Valor],tbLancamentos[Categoria],$B100,tbLancamentos[Mês],H$91))</f>
        <v>66.8</v>
      </c>
      <c r="I100" s="60">
        <f>IF($B100="","",SUMIFS(tbLancamentos[Valor],tbLancamentos[Categoria],$B100,tbLancamentos[Mês],I$91))</f>
        <v>66.8</v>
      </c>
      <c r="J100" s="60">
        <f>IF($B100="","",SUMIFS(tbLancamentos[Valor],tbLancamentos[Categoria],$B100,tbLancamentos[Mês],J$91))</f>
        <v>66.8</v>
      </c>
      <c r="K100" s="60">
        <f>IF($B100="","",SUMIFS(tbLancamentos[Valor],tbLancamentos[Categoria],$B100,tbLancamentos[Mês],K$91))</f>
        <v>66.8</v>
      </c>
      <c r="L100" s="60">
        <f>IF($B100="","",SUMIFS(tbLancamentos[Valor],tbLancamentos[Categoria],$B100,tbLancamentos[Mês],L$91))</f>
        <v>66.8</v>
      </c>
      <c r="M100" s="60">
        <f>IF($B100="","",SUMIFS(tbLancamentos[Valor],tbLancamentos[Categoria],$B100,tbLancamentos[Mês],M$91))</f>
        <v>66.8</v>
      </c>
      <c r="N100" s="60">
        <f>IF($B100="","",SUMIFS(tbLancamentos[Valor],tbLancamentos[Categoria],$B100,tbLancamentos[Mês],N$91))</f>
        <v>0</v>
      </c>
      <c r="O100" s="60">
        <f>IF($B100="","",SUMIFS(tbLancamentos[Valor],tbLancamentos[Categoria],$B100,tbLancamentos[Mês],O$91))</f>
        <v>0</v>
      </c>
      <c r="P100" s="64">
        <f t="shared" si="20"/>
        <v>667.99999999999989</v>
      </c>
    </row>
    <row r="101" spans="2:16" x14ac:dyDescent="0.35">
      <c r="B101" s="68" t="str">
        <f t="shared" si="19"/>
        <v>Compras</v>
      </c>
      <c r="C101" s="59"/>
      <c r="D101" s="60">
        <f>IF($B101="","",SUMIFS(tbLancamentos[Valor],tbLancamentos[Categoria],$B101,tbLancamentos[Mês],D$91))</f>
        <v>211.33</v>
      </c>
      <c r="E101" s="60">
        <f>IF($B101="","",SUMIFS(tbLancamentos[Valor],tbLancamentos[Categoria],$B101,tbLancamentos[Mês],E$91))</f>
        <v>69.77</v>
      </c>
      <c r="F101" s="60">
        <f>IF($B101="","",SUMIFS(tbLancamentos[Valor],tbLancamentos[Categoria],$B101,tbLancamentos[Mês],F$91))</f>
        <v>281.74</v>
      </c>
      <c r="G101" s="60">
        <f>IF($B101="","",SUMIFS(tbLancamentos[Valor],tbLancamentos[Categoria],$B101,tbLancamentos[Mês],G$91))</f>
        <v>314.12</v>
      </c>
      <c r="H101" s="60">
        <f>IF($B101="","",SUMIFS(tbLancamentos[Valor],tbLancamentos[Categoria],$B101,tbLancamentos[Mês],H$91))</f>
        <v>294.89</v>
      </c>
      <c r="I101" s="60">
        <f>IF($B101="","",SUMIFS(tbLancamentos[Valor],tbLancamentos[Categoria],$B101,tbLancamentos[Mês],I$91))</f>
        <v>295.19</v>
      </c>
      <c r="J101" s="60">
        <f>IF($B101="","",SUMIFS(tbLancamentos[Valor],tbLancamentos[Categoria],$B101,tbLancamentos[Mês],J$91))</f>
        <v>503.90999999999997</v>
      </c>
      <c r="K101" s="60">
        <f>IF($B101="","",SUMIFS(tbLancamentos[Valor],tbLancamentos[Categoria],$B101,tbLancamentos[Mês],K$91))</f>
        <v>260.77999999999997</v>
      </c>
      <c r="L101" s="60">
        <f>IF($B101="","",SUMIFS(tbLancamentos[Valor],tbLancamentos[Categoria],$B101,tbLancamentos[Mês],L$91))</f>
        <v>149.6</v>
      </c>
      <c r="M101" s="60">
        <f>IF($B101="","",SUMIFS(tbLancamentos[Valor],tbLancamentos[Categoria],$B101,tbLancamentos[Mês],M$91))</f>
        <v>406.92</v>
      </c>
      <c r="N101" s="60">
        <f>IF($B101="","",SUMIFS(tbLancamentos[Valor],tbLancamentos[Categoria],$B101,tbLancamentos[Mês],N$91))</f>
        <v>0</v>
      </c>
      <c r="O101" s="60">
        <f>IF($B101="","",SUMIFS(tbLancamentos[Valor],tbLancamentos[Categoria],$B101,tbLancamentos[Mês],O$91))</f>
        <v>0</v>
      </c>
      <c r="P101" s="64">
        <f t="shared" si="20"/>
        <v>2788.2499999999995</v>
      </c>
    </row>
    <row r="102" spans="2:16" x14ac:dyDescent="0.35">
      <c r="B102" s="68" t="str">
        <f t="shared" si="19"/>
        <v>Outros</v>
      </c>
      <c r="C102" s="59"/>
      <c r="D102" s="60">
        <f>IF($B102="","",SUMIFS(tbLancamentos[Valor],tbLancamentos[Categoria],$B102,tbLancamentos[Mês],D$91))</f>
        <v>0</v>
      </c>
      <c r="E102" s="60">
        <f>IF($B102="","",SUMIFS(tbLancamentos[Valor],tbLancamentos[Categoria],$B102,tbLancamentos[Mês],E$91))</f>
        <v>48.1</v>
      </c>
      <c r="F102" s="60">
        <f>IF($B102="","",SUMIFS(tbLancamentos[Valor],tbLancamentos[Categoria],$B102,tbLancamentos[Mês],F$91))</f>
        <v>0</v>
      </c>
      <c r="G102" s="60">
        <f>IF($B102="","",SUMIFS(tbLancamentos[Valor],tbLancamentos[Categoria],$B102,tbLancamentos[Mês],G$91))</f>
        <v>0</v>
      </c>
      <c r="H102" s="60">
        <f>IF($B102="","",SUMIFS(tbLancamentos[Valor],tbLancamentos[Categoria],$B102,tbLancamentos[Mês],H$91))</f>
        <v>0</v>
      </c>
      <c r="I102" s="60">
        <f>IF($B102="","",SUMIFS(tbLancamentos[Valor],tbLancamentos[Categoria],$B102,tbLancamentos[Mês],I$91))</f>
        <v>50.6</v>
      </c>
      <c r="J102" s="60">
        <f>IF($B102="","",SUMIFS(tbLancamentos[Valor],tbLancamentos[Categoria],$B102,tbLancamentos[Mês],J$91))</f>
        <v>0</v>
      </c>
      <c r="K102" s="60">
        <f>IF($B102="","",SUMIFS(tbLancamentos[Valor],tbLancamentos[Categoria],$B102,tbLancamentos[Mês],K$91))</f>
        <v>116.77</v>
      </c>
      <c r="L102" s="60">
        <f>IF($B102="","",SUMIFS(tbLancamentos[Valor],tbLancamentos[Categoria],$B102,tbLancamentos[Mês],L$91))</f>
        <v>75.739999999999995</v>
      </c>
      <c r="M102" s="60">
        <f>IF($B102="","",SUMIFS(tbLancamentos[Valor],tbLancamentos[Categoria],$B102,tbLancamentos[Mês],M$91))</f>
        <v>129.63</v>
      </c>
      <c r="N102" s="60">
        <f>IF($B102="","",SUMIFS(tbLancamentos[Valor],tbLancamentos[Categoria],$B102,tbLancamentos[Mês],N$91))</f>
        <v>0</v>
      </c>
      <c r="O102" s="60">
        <f>IF($B102="","",SUMIFS(tbLancamentos[Valor],tbLancamentos[Categoria],$B102,tbLancamentos[Mês],O$91))</f>
        <v>0</v>
      </c>
      <c r="P102" s="64">
        <f t="shared" si="20"/>
        <v>420.84</v>
      </c>
    </row>
    <row r="103" spans="2:16" x14ac:dyDescent="0.35">
      <c r="B103" s="68" t="str">
        <f t="shared" si="19"/>
        <v>Investimentos</v>
      </c>
      <c r="C103" s="59"/>
      <c r="D103" s="60">
        <f>IF($B103="","",SUMIFS(tbLancamentos[Valor],tbLancamentos[Categoria],$B103,tbLancamentos[Mês],D$91))</f>
        <v>600</v>
      </c>
      <c r="E103" s="60">
        <f>IF($B103="","",SUMIFS(tbLancamentos[Valor],tbLancamentos[Categoria],$B103,tbLancamentos[Mês],E$91))</f>
        <v>600</v>
      </c>
      <c r="F103" s="60">
        <f>IF($B103="","",SUMIFS(tbLancamentos[Valor],tbLancamentos[Categoria],$B103,tbLancamentos[Mês],F$91))</f>
        <v>600</v>
      </c>
      <c r="G103" s="60">
        <f>IF($B103="","",SUMIFS(tbLancamentos[Valor],tbLancamentos[Categoria],$B103,tbLancamentos[Mês],G$91))</f>
        <v>600</v>
      </c>
      <c r="H103" s="60">
        <f>IF($B103="","",SUMIFS(tbLancamentos[Valor],tbLancamentos[Categoria],$B103,tbLancamentos[Mês],H$91))</f>
        <v>926.39</v>
      </c>
      <c r="I103" s="60">
        <f>IF($B103="","",SUMIFS(tbLancamentos[Valor],tbLancamentos[Categoria],$B103,tbLancamentos[Mês],I$91))</f>
        <v>600</v>
      </c>
      <c r="J103" s="60">
        <f>IF($B103="","",SUMIFS(tbLancamentos[Valor],tbLancamentos[Categoria],$B103,tbLancamentos[Mês],J$91))</f>
        <v>859.76</v>
      </c>
      <c r="K103" s="60">
        <f>IF($B103="","",SUMIFS(tbLancamentos[Valor],tbLancamentos[Categoria],$B103,tbLancamentos[Mês],K$91))</f>
        <v>600</v>
      </c>
      <c r="L103" s="60">
        <f>IF($B103="","",SUMIFS(tbLancamentos[Valor],tbLancamentos[Categoria],$B103,tbLancamentos[Mês],L$91))</f>
        <v>1017.04</v>
      </c>
      <c r="M103" s="60">
        <f>IF($B103="","",SUMIFS(tbLancamentos[Valor],tbLancamentos[Categoria],$B103,tbLancamentos[Mês],M$91))</f>
        <v>851.49</v>
      </c>
      <c r="N103" s="60">
        <f>IF($B103="","",SUMIFS(tbLancamentos[Valor],tbLancamentos[Categoria],$B103,tbLancamentos[Mês],N$91))</f>
        <v>0</v>
      </c>
      <c r="O103" s="60">
        <f>IF($B103="","",SUMIFS(tbLancamentos[Valor],tbLancamentos[Categoria],$B103,tbLancamentos[Mês],O$91))</f>
        <v>0</v>
      </c>
      <c r="P103" s="64">
        <f t="shared" si="20"/>
        <v>7254.6799999999994</v>
      </c>
    </row>
    <row r="104" spans="2:16" x14ac:dyDescent="0.35">
      <c r="B104" s="68" t="str">
        <f t="shared" si="19"/>
        <v/>
      </c>
      <c r="C104" s="59"/>
      <c r="D104" s="60" t="str">
        <f>IF($B104="","",SUMIFS(tbLancamentos[Valor],tbLancamentos[Categoria],$B104,tbLancamentos[Mês],D$91))</f>
        <v/>
      </c>
      <c r="E104" s="60" t="str">
        <f>IF($B104="","",SUMIFS(tbLancamentos[Valor],tbLancamentos[Categoria],$B104,tbLancamentos[Mês],E$91))</f>
        <v/>
      </c>
      <c r="F104" s="60" t="str">
        <f>IF($B104="","",SUMIFS(tbLancamentos[Valor],tbLancamentos[Categoria],$B104,tbLancamentos[Mês],F$91))</f>
        <v/>
      </c>
      <c r="G104" s="60" t="str">
        <f>IF($B104="","",SUMIFS(tbLancamentos[Valor],tbLancamentos[Categoria],$B104,tbLancamentos[Mês],G$91))</f>
        <v/>
      </c>
      <c r="H104" s="60" t="str">
        <f>IF($B104="","",SUMIFS(tbLancamentos[Valor],tbLancamentos[Categoria],$B104,tbLancamentos[Mês],H$91))</f>
        <v/>
      </c>
      <c r="I104" s="60" t="str">
        <f>IF($B104="","",SUMIFS(tbLancamentos[Valor],tbLancamentos[Categoria],$B104,tbLancamentos[Mês],I$91))</f>
        <v/>
      </c>
      <c r="J104" s="60" t="str">
        <f>IF($B104="","",SUMIFS(tbLancamentos[Valor],tbLancamentos[Categoria],$B104,tbLancamentos[Mês],J$91))</f>
        <v/>
      </c>
      <c r="K104" s="60" t="str">
        <f>IF($B104="","",SUMIFS(tbLancamentos[Valor],tbLancamentos[Categoria],$B104,tbLancamentos[Mês],K$91))</f>
        <v/>
      </c>
      <c r="L104" s="60" t="str">
        <f>IF($B104="","",SUMIFS(tbLancamentos[Valor],tbLancamentos[Categoria],$B104,tbLancamentos[Mês],L$91))</f>
        <v/>
      </c>
      <c r="M104" s="60" t="str">
        <f>IF($B104="","",SUMIFS(tbLancamentos[Valor],tbLancamentos[Categoria],$B104,tbLancamentos[Mês],M$91))</f>
        <v/>
      </c>
      <c r="N104" s="60" t="str">
        <f>IF($B104="","",SUMIFS(tbLancamentos[Valor],tbLancamentos[Categoria],$B104,tbLancamentos[Mês],N$91))</f>
        <v/>
      </c>
      <c r="O104" s="60" t="str">
        <f>IF($B104="","",SUMIFS(tbLancamentos[Valor],tbLancamentos[Categoria],$B104,tbLancamentos[Mês],O$91))</f>
        <v/>
      </c>
      <c r="P104" s="64" t="str">
        <f t="shared" si="20"/>
        <v/>
      </c>
    </row>
    <row r="105" spans="2:16" x14ac:dyDescent="0.35">
      <c r="B105" s="68" t="str">
        <f t="shared" si="19"/>
        <v/>
      </c>
      <c r="C105" s="59"/>
      <c r="D105" s="60" t="str">
        <f>IF($B105="","",SUMIFS(tbLancamentos[Valor],tbLancamentos[Categoria],$B105,tbLancamentos[Mês],D$91))</f>
        <v/>
      </c>
      <c r="E105" s="60" t="str">
        <f>IF($B105="","",SUMIFS(tbLancamentos[Valor],tbLancamentos[Categoria],$B105,tbLancamentos[Mês],E$91))</f>
        <v/>
      </c>
      <c r="F105" s="60" t="str">
        <f>IF($B105="","",SUMIFS(tbLancamentos[Valor],tbLancamentos[Categoria],$B105,tbLancamentos[Mês],F$91))</f>
        <v/>
      </c>
      <c r="G105" s="60" t="str">
        <f>IF($B105="","",SUMIFS(tbLancamentos[Valor],tbLancamentos[Categoria],$B105,tbLancamentos[Mês],G$91))</f>
        <v/>
      </c>
      <c r="H105" s="60" t="str">
        <f>IF($B105="","",SUMIFS(tbLancamentos[Valor],tbLancamentos[Categoria],$B105,tbLancamentos[Mês],H$91))</f>
        <v/>
      </c>
      <c r="I105" s="60" t="str">
        <f>IF($B105="","",SUMIFS(tbLancamentos[Valor],tbLancamentos[Categoria],$B105,tbLancamentos[Mês],I$91))</f>
        <v/>
      </c>
      <c r="J105" s="60" t="str">
        <f>IF($B105="","",SUMIFS(tbLancamentos[Valor],tbLancamentos[Categoria],$B105,tbLancamentos[Mês],J$91))</f>
        <v/>
      </c>
      <c r="K105" s="60" t="str">
        <f>IF($B105="","",SUMIFS(tbLancamentos[Valor],tbLancamentos[Categoria],$B105,tbLancamentos[Mês],K$91))</f>
        <v/>
      </c>
      <c r="L105" s="60" t="str">
        <f>IF($B105="","",SUMIFS(tbLancamentos[Valor],tbLancamentos[Categoria],$B105,tbLancamentos[Mês],L$91))</f>
        <v/>
      </c>
      <c r="M105" s="60" t="str">
        <f>IF($B105="","",SUMIFS(tbLancamentos[Valor],tbLancamentos[Categoria],$B105,tbLancamentos[Mês],M$91))</f>
        <v/>
      </c>
      <c r="N105" s="60" t="str">
        <f>IF($B105="","",SUMIFS(tbLancamentos[Valor],tbLancamentos[Categoria],$B105,tbLancamentos[Mês],N$91))</f>
        <v/>
      </c>
      <c r="O105" s="60" t="str">
        <f>IF($B105="","",SUMIFS(tbLancamentos[Valor],tbLancamentos[Categoria],$B105,tbLancamentos[Mês],O$91))</f>
        <v/>
      </c>
      <c r="P105" s="64" t="str">
        <f t="shared" si="20"/>
        <v/>
      </c>
    </row>
    <row r="106" spans="2:16" ht="15.6" thickBot="1" x14ac:dyDescent="0.4">
      <c r="B106" s="68" t="str">
        <f t="shared" si="19"/>
        <v/>
      </c>
      <c r="C106" s="59"/>
      <c r="D106" s="60" t="str">
        <f>IF($B106="","",SUMIFS(tbLancamentos[Valor],tbLancamentos[Categoria],$B106,tbLancamentos[Mês],D$91))</f>
        <v/>
      </c>
      <c r="E106" s="60" t="str">
        <f>IF($B106="","",SUMIFS(tbLancamentos[Valor],tbLancamentos[Categoria],$B106,tbLancamentos[Mês],E$91))</f>
        <v/>
      </c>
      <c r="F106" s="60" t="str">
        <f>IF($B106="","",SUMIFS(tbLancamentos[Valor],tbLancamentos[Categoria],$B106,tbLancamentos[Mês],F$91))</f>
        <v/>
      </c>
      <c r="G106" s="60" t="str">
        <f>IF($B106="","",SUMIFS(tbLancamentos[Valor],tbLancamentos[Categoria],$B106,tbLancamentos[Mês],G$91))</f>
        <v/>
      </c>
      <c r="H106" s="60" t="str">
        <f>IF($B106="","",SUMIFS(tbLancamentos[Valor],tbLancamentos[Categoria],$B106,tbLancamentos[Mês],H$91))</f>
        <v/>
      </c>
      <c r="I106" s="60" t="str">
        <f>IF($B106="","",SUMIFS(tbLancamentos[Valor],tbLancamentos[Categoria],$B106,tbLancamentos[Mês],I$91))</f>
        <v/>
      </c>
      <c r="J106" s="60" t="str">
        <f>IF($B106="","",SUMIFS(tbLancamentos[Valor],tbLancamentos[Categoria],$B106,tbLancamentos[Mês],J$91))</f>
        <v/>
      </c>
      <c r="K106" s="60" t="str">
        <f>IF($B106="","",SUMIFS(tbLancamentos[Valor],tbLancamentos[Categoria],$B106,tbLancamentos[Mês],K$91))</f>
        <v/>
      </c>
      <c r="L106" s="60" t="str">
        <f>IF($B106="","",SUMIFS(tbLancamentos[Valor],tbLancamentos[Categoria],$B106,tbLancamentos[Mês],L$91))</f>
        <v/>
      </c>
      <c r="M106" s="60" t="str">
        <f>IF($B106="","",SUMIFS(tbLancamentos[Valor],tbLancamentos[Categoria],$B106,tbLancamentos[Mês],M$91))</f>
        <v/>
      </c>
      <c r="N106" s="60" t="str">
        <f>IF($B106="","",SUMIFS(tbLancamentos[Valor],tbLancamentos[Categoria],$B106,tbLancamentos[Mês],N$91))</f>
        <v/>
      </c>
      <c r="O106" s="60" t="str">
        <f>IF($B106="","",SUMIFS(tbLancamentos[Valor],tbLancamentos[Categoria],$B106,tbLancamentos[Mês],O$91))</f>
        <v/>
      </c>
      <c r="P106" s="64" t="str">
        <f t="shared" si="20"/>
        <v/>
      </c>
    </row>
    <row r="107" spans="2:16" x14ac:dyDescent="0.35">
      <c r="B107" s="69" t="s">
        <v>113</v>
      </c>
      <c r="C107" s="65"/>
      <c r="D107" s="66">
        <f t="shared" ref="D107:P107" si="21">SUM(D92:D106)</f>
        <v>4166.01</v>
      </c>
      <c r="E107" s="66">
        <f t="shared" si="21"/>
        <v>4489.91</v>
      </c>
      <c r="F107" s="66">
        <f t="shared" si="21"/>
        <v>4709.46</v>
      </c>
      <c r="G107" s="66">
        <f t="shared" si="21"/>
        <v>4536.9400000000005</v>
      </c>
      <c r="H107" s="66">
        <f t="shared" si="21"/>
        <v>4915.5</v>
      </c>
      <c r="I107" s="66">
        <f t="shared" si="21"/>
        <v>4900.0400000000009</v>
      </c>
      <c r="J107" s="66">
        <f t="shared" si="21"/>
        <v>5118.630000000001</v>
      </c>
      <c r="K107" s="66">
        <f t="shared" si="21"/>
        <v>4670.43</v>
      </c>
      <c r="L107" s="66">
        <f t="shared" si="21"/>
        <v>4759.2900000000009</v>
      </c>
      <c r="M107" s="66">
        <f t="shared" si="21"/>
        <v>4946.4900000000007</v>
      </c>
      <c r="N107" s="66">
        <f t="shared" si="21"/>
        <v>0</v>
      </c>
      <c r="O107" s="66">
        <f t="shared" si="21"/>
        <v>0</v>
      </c>
      <c r="P107" s="66">
        <f t="shared" si="21"/>
        <v>47212.7</v>
      </c>
    </row>
    <row r="108" spans="2:16" x14ac:dyDescent="0.35">
      <c r="B108" s="49" t="s">
        <v>155</v>
      </c>
    </row>
    <row r="110" spans="2:16" x14ac:dyDescent="0.35">
      <c r="B110" s="49" t="s">
        <v>156</v>
      </c>
    </row>
    <row r="112" spans="2:16" x14ac:dyDescent="0.35">
      <c r="B112" s="193" t="str">
        <f>HYPERLINK("https://ottavvi.github.io/site-portfolio/","Criado por Otávio · ottavvi.dev")</f>
        <v>Criado por Otávio · ottavvi.dev</v>
      </c>
    </row>
  </sheetData>
  <mergeCells count="69">
    <mergeCell ref="J2:K2"/>
    <mergeCell ref="J3:K3"/>
    <mergeCell ref="O87:P87"/>
    <mergeCell ref="O81:P81"/>
    <mergeCell ref="O82:P82"/>
    <mergeCell ref="O83:P83"/>
    <mergeCell ref="O84:P84"/>
    <mergeCell ref="O85:P85"/>
    <mergeCell ref="O86:P86"/>
    <mergeCell ref="K74:M74"/>
    <mergeCell ref="K75:M75"/>
    <mergeCell ref="K76:M76"/>
    <mergeCell ref="N74:P74"/>
    <mergeCell ref="N75:P75"/>
    <mergeCell ref="N76:P76"/>
    <mergeCell ref="O70:P70"/>
    <mergeCell ref="B74:D74"/>
    <mergeCell ref="B75:D75"/>
    <mergeCell ref="B76:D76"/>
    <mergeCell ref="E74:G74"/>
    <mergeCell ref="E75:G75"/>
    <mergeCell ref="E76:G76"/>
    <mergeCell ref="H74:J74"/>
    <mergeCell ref="H75:J75"/>
    <mergeCell ref="H76:J76"/>
    <mergeCell ref="G66:H66"/>
    <mergeCell ref="G67:H67"/>
    <mergeCell ref="G68:H68"/>
    <mergeCell ref="G69:H69"/>
    <mergeCell ref="O65:P65"/>
    <mergeCell ref="O66:P66"/>
    <mergeCell ref="O67:P67"/>
    <mergeCell ref="O68:P68"/>
    <mergeCell ref="O69:P69"/>
    <mergeCell ref="G65:H65"/>
    <mergeCell ref="G34:H34"/>
    <mergeCell ref="G35:H35"/>
    <mergeCell ref="G36:H36"/>
    <mergeCell ref="G37:H37"/>
    <mergeCell ref="G38:H38"/>
    <mergeCell ref="G39:H39"/>
    <mergeCell ref="G40:H40"/>
    <mergeCell ref="G41:H41"/>
    <mergeCell ref="G42:H42"/>
    <mergeCell ref="G43:H43"/>
    <mergeCell ref="G44:H44"/>
    <mergeCell ref="G33:H33"/>
    <mergeCell ref="H8:J8"/>
    <mergeCell ref="K6:M6"/>
    <mergeCell ref="K7:M7"/>
    <mergeCell ref="K8:M8"/>
    <mergeCell ref="H6:J6"/>
    <mergeCell ref="H7:J7"/>
    <mergeCell ref="G28:H28"/>
    <mergeCell ref="G29:H29"/>
    <mergeCell ref="G30:H30"/>
    <mergeCell ref="G31:H31"/>
    <mergeCell ref="G32:H32"/>
    <mergeCell ref="N6:P6"/>
    <mergeCell ref="N7:P7"/>
    <mergeCell ref="N8:P8"/>
    <mergeCell ref="M2:O2"/>
    <mergeCell ref="M3:O3"/>
    <mergeCell ref="B6:D6"/>
    <mergeCell ref="B7:D7"/>
    <mergeCell ref="B8:D8"/>
    <mergeCell ref="E6:G6"/>
    <mergeCell ref="E7:G7"/>
    <mergeCell ref="E8:G8"/>
  </mergeCells>
  <conditionalFormatting sqref="B8:D8">
    <cfRule type="cellIs" dxfId="40" priority="1" stopIfTrue="1" operator="greaterThan">
      <formula>0</formula>
    </cfRule>
    <cfRule type="cellIs" dxfId="39" priority="2" stopIfTrue="1" operator="lessThan">
      <formula>0</formula>
    </cfRule>
  </conditionalFormatting>
  <conditionalFormatting sqref="D92:O92">
    <cfRule type="colorScale" priority="22">
      <colorScale>
        <cfvo type="min"/>
        <cfvo type="max"/>
        <color rgb="FF12232A"/>
        <color rgb="FF22B39A"/>
      </colorScale>
    </cfRule>
  </conditionalFormatting>
  <conditionalFormatting sqref="D93:O93">
    <cfRule type="colorScale" priority="23">
      <colorScale>
        <cfvo type="min"/>
        <cfvo type="max"/>
        <color rgb="FF12232A"/>
        <color rgb="FF22B39A"/>
      </colorScale>
    </cfRule>
  </conditionalFormatting>
  <conditionalFormatting sqref="D94:O94">
    <cfRule type="colorScale" priority="24">
      <colorScale>
        <cfvo type="min"/>
        <cfvo type="max"/>
        <color rgb="FF12232A"/>
        <color rgb="FF22B39A"/>
      </colorScale>
    </cfRule>
  </conditionalFormatting>
  <conditionalFormatting sqref="D95:O95">
    <cfRule type="colorScale" priority="25">
      <colorScale>
        <cfvo type="min"/>
        <cfvo type="max"/>
        <color rgb="FF12232A"/>
        <color rgb="FF22B39A"/>
      </colorScale>
    </cfRule>
  </conditionalFormatting>
  <conditionalFormatting sqref="D96:O96">
    <cfRule type="colorScale" priority="26">
      <colorScale>
        <cfvo type="min"/>
        <cfvo type="max"/>
        <color rgb="FF12232A"/>
        <color rgb="FF22B39A"/>
      </colorScale>
    </cfRule>
  </conditionalFormatting>
  <conditionalFormatting sqref="D97:O97">
    <cfRule type="colorScale" priority="27">
      <colorScale>
        <cfvo type="min"/>
        <cfvo type="max"/>
        <color rgb="FF12232A"/>
        <color rgb="FF22B39A"/>
      </colorScale>
    </cfRule>
  </conditionalFormatting>
  <conditionalFormatting sqref="D98:O98">
    <cfRule type="colorScale" priority="28">
      <colorScale>
        <cfvo type="min"/>
        <cfvo type="max"/>
        <color rgb="FF12232A"/>
        <color rgb="FF22B39A"/>
      </colorScale>
    </cfRule>
  </conditionalFormatting>
  <conditionalFormatting sqref="D99:O99">
    <cfRule type="colorScale" priority="29">
      <colorScale>
        <cfvo type="min"/>
        <cfvo type="max"/>
        <color rgb="FF12232A"/>
        <color rgb="FF22B39A"/>
      </colorScale>
    </cfRule>
  </conditionalFormatting>
  <conditionalFormatting sqref="D100:O100">
    <cfRule type="colorScale" priority="30">
      <colorScale>
        <cfvo type="min"/>
        <cfvo type="max"/>
        <color rgb="FF12232A"/>
        <color rgb="FF22B39A"/>
      </colorScale>
    </cfRule>
  </conditionalFormatting>
  <conditionalFormatting sqref="D101:O101">
    <cfRule type="colorScale" priority="31">
      <colorScale>
        <cfvo type="min"/>
        <cfvo type="max"/>
        <color rgb="FF12232A"/>
        <color rgb="FF22B39A"/>
      </colorScale>
    </cfRule>
  </conditionalFormatting>
  <conditionalFormatting sqref="D102:O102">
    <cfRule type="colorScale" priority="32">
      <colorScale>
        <cfvo type="min"/>
        <cfvo type="max"/>
        <color rgb="FF12232A"/>
        <color rgb="FF22B39A"/>
      </colorScale>
    </cfRule>
  </conditionalFormatting>
  <conditionalFormatting sqref="D103:O103">
    <cfRule type="colorScale" priority="33">
      <colorScale>
        <cfvo type="min"/>
        <cfvo type="max"/>
        <color rgb="FF12232A"/>
        <color rgb="FF22B39A"/>
      </colorScale>
    </cfRule>
  </conditionalFormatting>
  <conditionalFormatting sqref="D104:O104">
    <cfRule type="colorScale" priority="34">
      <colorScale>
        <cfvo type="min"/>
        <cfvo type="max"/>
        <color rgb="FF12232A"/>
        <color rgb="FF22B39A"/>
      </colorScale>
    </cfRule>
  </conditionalFormatting>
  <conditionalFormatting sqref="D105:O105">
    <cfRule type="colorScale" priority="35">
      <colorScale>
        <cfvo type="min"/>
        <cfvo type="max"/>
        <color rgb="FF12232A"/>
        <color rgb="FF22B39A"/>
      </colorScale>
    </cfRule>
  </conditionalFormatting>
  <conditionalFormatting sqref="D106:O106">
    <cfRule type="colorScale" priority="36">
      <colorScale>
        <cfvo type="min"/>
        <cfvo type="max"/>
        <color rgb="FF12232A"/>
        <color rgb="FF22B39A"/>
      </colorScale>
    </cfRule>
  </conditionalFormatting>
  <conditionalFormatting sqref="E8:G8">
    <cfRule type="cellIs" dxfId="38" priority="3" stopIfTrue="1" operator="greaterThan">
      <formula>0</formula>
    </cfRule>
    <cfRule type="cellIs" dxfId="37" priority="4" stopIfTrue="1" operator="lessThan">
      <formula>0</formula>
    </cfRule>
  </conditionalFormatting>
  <conditionalFormatting sqref="F29:F43">
    <cfRule type="expression" dxfId="36" priority="38" stopIfTrue="1">
      <formula>AND(ISNUMBER($F29),$F29&lt;0,$B29&lt;&gt;"Investimentos")</formula>
    </cfRule>
    <cfRule type="expression" dxfId="35" priority="40" stopIfTrue="1">
      <formula>AND(ISNUMBER($F29),$F29&lt;0,$B29="Investimentos")</formula>
    </cfRule>
  </conditionalFormatting>
  <conditionalFormatting sqref="F44">
    <cfRule type="cellIs" dxfId="34" priority="41" stopIfTrue="1" operator="lessThan">
      <formula>0</formula>
    </cfRule>
  </conditionalFormatting>
  <conditionalFormatting sqref="G29:G43">
    <cfRule type="dataBar" priority="37">
      <dataBar>
        <cfvo type="num" val="0"/>
        <cfvo type="num" val="1"/>
        <color rgb="FF22B39A"/>
      </dataBar>
      <extLst>
        <ext xmlns:x14="http://schemas.microsoft.com/office/spreadsheetml/2009/9/main" uri="{B025F937-C7B1-47D3-B67F-A62EFF666E3E}">
          <x14:id>{2826AE87-9252-4010-9338-6DC01AD14C3E}</x14:id>
        </ext>
      </extLst>
    </cfRule>
    <cfRule type="expression" dxfId="33" priority="39" stopIfTrue="1">
      <formula>AND(ISNUMBER($G29),$G29&gt;1,$B29&lt;&gt;"Investimentos")</formula>
    </cfRule>
  </conditionalFormatting>
  <conditionalFormatting sqref="G66:G68">
    <cfRule type="cellIs" dxfId="32" priority="14" stopIfTrue="1" operator="equal">
      <formula>"✓ dentro"</formula>
    </cfRule>
    <cfRule type="cellIs" dxfId="31" priority="15" stopIfTrue="1" operator="notEqual">
      <formula>"✓ dentro"</formula>
    </cfRule>
  </conditionalFormatting>
  <conditionalFormatting sqref="H8:M8">
    <cfRule type="cellIs" dxfId="30" priority="5" stopIfTrue="1" operator="greaterThan">
      <formula>0</formula>
    </cfRule>
    <cfRule type="cellIs" dxfId="29" priority="6" stopIfTrue="1" operator="lessThan">
      <formula>0</formula>
    </cfRule>
  </conditionalFormatting>
  <conditionalFormatting sqref="K7">
    <cfRule type="cellIs" dxfId="28" priority="10" stopIfTrue="1" operator="lessThan">
      <formula>0</formula>
    </cfRule>
  </conditionalFormatting>
  <conditionalFormatting sqref="K75">
    <cfRule type="cellIs" dxfId="27" priority="17" stopIfTrue="1" operator="lessThan">
      <formula>0</formula>
    </cfRule>
  </conditionalFormatting>
  <conditionalFormatting sqref="N8:P8">
    <cfRule type="cellIs" dxfId="26" priority="9" stopIfTrue="1" operator="equal">
      <formula>"✓ acima da meta de 20%"</formula>
    </cfRule>
  </conditionalFormatting>
  <conditionalFormatting sqref="O66:O70">
    <cfRule type="dataBar" priority="16">
      <dataBar>
        <cfvo type="num" val="0"/>
        <cfvo type="num" val="1"/>
        <color rgb="FF22B39A"/>
      </dataBar>
      <extLst>
        <ext xmlns:x14="http://schemas.microsoft.com/office/spreadsheetml/2009/9/main" uri="{B025F937-C7B1-47D3-B67F-A62EFF666E3E}">
          <x14:id>{115281AA-5274-4168-9A29-A208A3928972}</x14:id>
        </ext>
      </extLst>
    </cfRule>
  </conditionalFormatting>
  <conditionalFormatting sqref="O85">
    <cfRule type="cellIs" dxfId="25" priority="18" stopIfTrue="1" operator="greaterThan">
      <formula>1</formula>
    </cfRule>
    <cfRule type="cellIs" dxfId="24" priority="19" stopIfTrue="1" operator="greaterThanOrEqual">
      <formula>1</formula>
    </cfRule>
  </conditionalFormatting>
  <conditionalFormatting sqref="O86">
    <cfRule type="cellIs" dxfId="23" priority="20" stopIfTrue="1" operator="greaterThan">
      <formula>0</formula>
    </cfRule>
    <cfRule type="cellIs" dxfId="22" priority="21" stopIfTrue="1" operator="equal">
      <formula>0</formula>
    </cfRule>
  </conditionalFormatting>
  <dataValidations count="1">
    <dataValidation type="list" allowBlank="1" showInputMessage="1" promptTitle="Mês do painel" prompt="Escolha um mês na lista (vem da aba Resumo)." sqref="M3" xr:uid="{F97E5CA6-7342-4F94-9440-EBD94BB5F257}">
      <formula1>lstMeses</formula1>
    </dataValidation>
  </dataValidations>
  <printOptions horizontalCentered="1"/>
  <pageMargins left="0.511811024" right="0.511811024" top="0.78740157499999996" bottom="0.78740157499999996" header="0.31496062000000002" footer="0.31496062000000002"/>
  <pageSetup paperSize="9" scale="26" orientation="landscape" r:id="rId1"/>
  <headerFooter>
    <oddFooter>&amp;CPágina &amp;P de &amp;N&amp;L&amp;A&amp;R&amp;8Criado por Otávio · ottavvi.dev</oddFooter>
  </headerFooter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826AE87-9252-4010-9338-6DC01AD14C3E}">
            <x14:dataBar minLength="0" maxLength="100" gradient="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G29:G43</xm:sqref>
        </x14:conditionalFormatting>
        <x14:conditionalFormatting xmlns:xm="http://schemas.microsoft.com/office/excel/2006/main">
          <x14:cfRule type="dataBar" id="{115281AA-5274-4168-9A29-A208A3928972}">
            <x14:dataBar minLength="0" maxLength="100" gradient="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O66:O70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E16EF-0105-4F59-8C90-69389CFF942B}">
  <sheetPr>
    <tabColor rgb="FF16303A"/>
    <pageSetUpPr fitToPage="1"/>
  </sheetPr>
  <dimension ref="B1:C53"/>
  <sheetViews>
    <sheetView showGridLines="0" zoomScaleNormal="100" workbookViewId="0">
      <pane ySplit="6" topLeftCell="A7" activePane="bottomLeft" state="frozen"/>
      <selection pane="bottomLeft" activeCell="C6" sqref="C6"/>
    </sheetView>
  </sheetViews>
  <sheetFormatPr defaultRowHeight="16.8" x14ac:dyDescent="0.4"/>
  <cols>
    <col min="1" max="1" width="2.33203125" style="87" customWidth="1"/>
    <col min="2" max="2" width="25.77734375" style="87" customWidth="1"/>
    <col min="3" max="3" width="17.77734375" style="87" customWidth="1"/>
    <col min="4" max="4" width="2.33203125" style="87" customWidth="1"/>
    <col min="5" max="16384" width="8.88671875" style="87"/>
  </cols>
  <sheetData>
    <row r="1" spans="2:3" ht="34.049999999999997" customHeight="1" x14ac:dyDescent="0.4">
      <c r="B1" s="4" t="s">
        <v>204</v>
      </c>
      <c r="C1" s="88"/>
    </row>
    <row r="2" spans="2:3" ht="30" customHeight="1" x14ac:dyDescent="0.4">
      <c r="B2" s="249" t="str">
        <f ca="1">IF(SUMPRODUCT((SUMIFS(tbLancamentos[Valor],tbLancamentos[Mês],$C$6,tbLancamentos[Descrição],tbContas[Conta])=0)*(DATE(YEAR($C$6),MONTH($C$6),tbContas[Dia do vencimento])&lt;TODAY()))+SUMPRODUCT((tbCategorias[Tipo]="Despesa")*(SUMIFS(tbLancamentos[Valor],tbLancamentos[Mês],$C$6,tbLancamentos[Categoria],tbCategorias[Categoria])&gt;tbCategorias[Orçamento mensal]))+SUMPRODUCT((tbParcelas[1ª fatura]&lt;=$C$6)*(tbParcelas[Última fatura]&gt;=$C$6)*(COUNTIFS(tbLancamentos[Mês],$C$6,tbLancamentos[Descrição],tbParcelas[Descrição])=0))+($C$12&lt;0)=0,"✓ Tudo em dia neste mês","⚠  "&amp;IF(SUMPRODUCT((SUMIFS(tbLancamentos[Valor],tbLancamentos[Mês],$C$6,tbLancamentos[Descrição],tbContas[Conta])=0)*(DATE(YEAR($C$6),MONTH($C$6),tbContas[Dia do vencimento])&lt;TODAY()))&gt;0,SUMPRODUCT((SUMIFS(tbLancamentos[Valor],tbLancamentos[Mês],$C$6,tbLancamentos[Descrição],tbContas[Conta])=0)*(DATE(YEAR($C$6),MONTH($C$6),tbContas[Dia do vencimento])&lt;TODAY()))&amp;" conta(s) vencida(s)    ","")&amp;IF(SUMPRODUCT((tbCategorias[Tipo]="Despesa")*(SUMIFS(tbLancamentos[Valor],tbLancamentos[Mês],$C$6,tbLancamentos[Categoria],tbCategorias[Categoria])&gt;tbCategorias[Orçamento mensal]))&gt;0,SUMPRODUCT((tbCategorias[Tipo]="Despesa")*(SUMIFS(tbLancamentos[Valor],tbLancamentos[Mês],$C$6,tbLancamentos[Categoria],tbCategorias[Categoria])&gt;tbCategorias[Orçamento mensal]))&amp;" categoria(s) acima do orçamento    ","")&amp;IF(SUMPRODUCT((tbParcelas[1ª fatura]&lt;=$C$6)*(tbParcelas[Última fatura]&gt;=$C$6)*(COUNTIFS(tbLancamentos[Mês],$C$6,tbLancamentos[Descrição],tbParcelas[Descrição])=0))&gt;0,SUMPRODUCT((tbParcelas[1ª fatura]&lt;=$C$6)*(tbParcelas[Última fatura]&gt;=$C$6)*(COUNTIFS(tbLancamentos[Mês],$C$6,tbLancamentos[Descrição],tbParcelas[Descrição])=0))&amp;" parcela(s) do cartão para lançar    ","")&amp;IF($C$12&lt;0,"saldo do mês negativo",""))</f>
        <v xml:space="preserve">⚠  1 conta(s) vencida(s)    2 categoria(s) acima do orçamento    4 parcela(s) do cartão para lançar    </v>
      </c>
      <c r="C2" s="249"/>
    </row>
    <row r="3" spans="2:3" ht="24" customHeight="1" x14ac:dyDescent="0.4">
      <c r="B3" s="89" t="str">
        <f>HYPERLINK("#'Painel'!A1","Painel completo ›")</f>
        <v>Painel completo ›</v>
      </c>
      <c r="C3" s="89" t="str">
        <f>HYPERLINK("#'Lançamentos'!A1","Lançar gasto ›")</f>
        <v>Lançar gasto ›</v>
      </c>
    </row>
    <row r="4" spans="2:3" ht="24" customHeight="1" x14ac:dyDescent="0.4">
      <c r="B4" s="89" t="str">
        <f>HYPERLINK("#'Contas fixas'!A1","Contas fixas ›")</f>
        <v>Contas fixas ›</v>
      </c>
      <c r="C4" s="89" t="str">
        <f>HYPERLINK("#'Metas'!A1","Metas ›")</f>
        <v>Metas ›</v>
      </c>
    </row>
    <row r="6" spans="2:3" ht="25.95" customHeight="1" x14ac:dyDescent="0.4">
      <c r="B6" s="90" t="s">
        <v>83</v>
      </c>
      <c r="C6" s="91">
        <v>46296</v>
      </c>
    </row>
    <row r="8" spans="2:3" ht="28.05" customHeight="1" thickBot="1" x14ac:dyDescent="0.5">
      <c r="B8" s="31" t="s">
        <v>167</v>
      </c>
    </row>
    <row r="9" spans="2:3" ht="22.05" customHeight="1" x14ac:dyDescent="0.4">
      <c r="B9" s="92" t="s">
        <v>107</v>
      </c>
      <c r="C9" s="93">
        <f>SUMIFS(tbLancamentos[Valor],tbLancamentos[Mês],$C$6,tbLancamentos[Tipo],"Receita")</f>
        <v>5800</v>
      </c>
    </row>
    <row r="10" spans="2:3" ht="22.05" customHeight="1" x14ac:dyDescent="0.4">
      <c r="B10" s="95" t="s">
        <v>108</v>
      </c>
      <c r="C10" s="96">
        <f>SUMIFS(tbLancamentos[Valor],tbLancamentos[Mês],$C$6,tbLancamentos[Tipo],"Despesa")</f>
        <v>4095.0000000000005</v>
      </c>
    </row>
    <row r="11" spans="2:3" ht="22.05" customHeight="1" x14ac:dyDescent="0.4">
      <c r="B11" s="95" t="s">
        <v>109</v>
      </c>
      <c r="C11" s="97">
        <f>SUMIFS(tbLancamentos[Valor],tbLancamentos[Mês],$C$6,tbLancamentos[Tipo],"Investimento")</f>
        <v>851.49</v>
      </c>
    </row>
    <row r="12" spans="2:3" ht="22.05" customHeight="1" x14ac:dyDescent="0.45">
      <c r="B12" s="95" t="s">
        <v>110</v>
      </c>
      <c r="C12" s="100">
        <f>C9-C10-C11</f>
        <v>853.50999999999954</v>
      </c>
    </row>
    <row r="13" spans="2:3" ht="22.05" customHeight="1" x14ac:dyDescent="0.45">
      <c r="B13" s="95" t="s">
        <v>112</v>
      </c>
      <c r="C13" s="101">
        <f>IF(C9=0,0,(C9-C10)/C9)</f>
        <v>0.29396551724137926</v>
      </c>
    </row>
    <row r="14" spans="2:3" ht="22.05" customHeight="1" x14ac:dyDescent="0.4">
      <c r="B14" s="94" t="s">
        <v>205</v>
      </c>
      <c r="C14" s="99">
        <f>IFERROR(C10/SUMIFS(tbLancamentos[Valor],tbLancamentos[Mês],EDATE($C$6,-1),tbLancamentos[Tipo],"Despesa")-1,"")</f>
        <v>9.4261473712339061E-2</v>
      </c>
    </row>
    <row r="16" spans="2:3" ht="28.05" customHeight="1" thickBot="1" x14ac:dyDescent="0.5">
      <c r="B16" s="31" t="s">
        <v>206</v>
      </c>
    </row>
    <row r="17" spans="2:3" ht="22.05" customHeight="1" x14ac:dyDescent="0.4">
      <c r="B17" s="92" t="s">
        <v>150</v>
      </c>
      <c r="C17" s="102">
        <f>SUMIFS(tbCategorias[Orçamento mensal],tbCategorias[Tipo],"Despesa")</f>
        <v>4540</v>
      </c>
    </row>
    <row r="18" spans="2:3" ht="22.05" customHeight="1" x14ac:dyDescent="0.4">
      <c r="B18" s="95" t="s">
        <v>207</v>
      </c>
      <c r="C18" s="104">
        <f>IF(C17=0,"",C10/C17)</f>
        <v>0.90198237885462562</v>
      </c>
    </row>
    <row r="19" spans="2:3" ht="22.05" customHeight="1" x14ac:dyDescent="0.4">
      <c r="B19" s="95" t="s">
        <v>208</v>
      </c>
      <c r="C19" s="106">
        <f ca="1">IF(AND(YEAR(TODAY())=YEAR($C$6),MONTH(TODAY())=MONTH($C$6)),C10/DAY(TODAY())*DAY(EOMONTH($C$6,0)),C10)</f>
        <v>4882.5000000000009</v>
      </c>
    </row>
    <row r="20" spans="2:3" ht="22.05" customHeight="1" x14ac:dyDescent="0.4">
      <c r="B20" s="94" t="s">
        <v>151</v>
      </c>
      <c r="C20" s="103">
        <f ca="1">IF(C17=0,"",C19/C17)</f>
        <v>1.0754405286343613</v>
      </c>
    </row>
    <row r="22" spans="2:3" ht="28.05" customHeight="1" thickBot="1" x14ac:dyDescent="0.5">
      <c r="B22" s="31" t="s">
        <v>212</v>
      </c>
    </row>
    <row r="23" spans="2:3" ht="22.05" customHeight="1" x14ac:dyDescent="0.4">
      <c r="B23" s="107" t="str">
        <f>Calc!N3</f>
        <v>Moradia</v>
      </c>
      <c r="C23" s="102">
        <f>IF(Calc!M3="","",ROUND(Calc!M3,2))</f>
        <v>1200</v>
      </c>
    </row>
    <row r="24" spans="2:3" ht="22.05" customHeight="1" x14ac:dyDescent="0.4">
      <c r="B24" s="109" t="str">
        <f>Calc!N4</f>
        <v>Mercado</v>
      </c>
      <c r="C24" s="106">
        <f>IF(Calc!M4="","",ROUND(Calc!M4,2))</f>
        <v>908.6</v>
      </c>
    </row>
    <row r="25" spans="2:3" ht="22.05" customHeight="1" x14ac:dyDescent="0.4">
      <c r="B25" s="109" t="str">
        <f>Calc!N5</f>
        <v>Compras</v>
      </c>
      <c r="C25" s="106">
        <f>IF(Calc!M5="","",ROUND(Calc!M5,2))</f>
        <v>406.92</v>
      </c>
    </row>
    <row r="26" spans="2:3" ht="22.05" customHeight="1" x14ac:dyDescent="0.4">
      <c r="B26" s="109" t="str">
        <f>Calc!N6</f>
        <v>Contas da casa</v>
      </c>
      <c r="C26" s="106">
        <f>IF(Calc!M6="","",ROUND(Calc!M6,2))</f>
        <v>395.05</v>
      </c>
    </row>
    <row r="27" spans="2:3" ht="22.05" customHeight="1" x14ac:dyDescent="0.4">
      <c r="B27" s="108" t="str">
        <f>Calc!N7</f>
        <v>Transporte</v>
      </c>
      <c r="C27" s="105">
        <f>IF(Calc!M7="","",ROUND(Calc!M7,2))</f>
        <v>314.62</v>
      </c>
    </row>
    <row r="29" spans="2:3" ht="28.05" customHeight="1" thickBot="1" x14ac:dyDescent="0.5">
      <c r="B29" s="31" t="s">
        <v>213</v>
      </c>
    </row>
    <row r="30" spans="2:3" ht="22.05" customHeight="1" x14ac:dyDescent="0.4">
      <c r="B30" s="92" t="s">
        <v>171</v>
      </c>
      <c r="C30" s="110" t="str">
        <f>SUMPRODUCT(--(SUMIFS(tbLancamentos[Valor],tbLancamentos[Mês],$C$6,tbLancamentos[Descrição],tbContas[Conta])&gt;0))&amp;" de "&amp;ROWS(tbContas[])</f>
        <v>10 de 12</v>
      </c>
    </row>
    <row r="31" spans="2:3" ht="22.05" customHeight="1" x14ac:dyDescent="0.4">
      <c r="B31" s="95" t="s">
        <v>170</v>
      </c>
      <c r="C31" s="112">
        <f>SUMPRODUCT(tbContas[Valor previsto]*(SUMIFS(tbLancamentos[Valor],tbLancamentos[Mês],$C$6,tbLancamentos[Descrição],tbContas[Conta])=0))</f>
        <v>75</v>
      </c>
    </row>
    <row r="32" spans="2:3" ht="22.05" customHeight="1" x14ac:dyDescent="0.4">
      <c r="B32" s="94" t="s">
        <v>172</v>
      </c>
      <c r="C32" s="113">
        <f ca="1">SUMPRODUCT((SUMIFS(tbLancamentos[Valor],tbLancamentos[Mês],$C$6,tbLancamentos[Descrição],tbContas[Conta])=0)*(DATE(YEAR($C$6),MONTH($C$6),tbContas[Dia do vencimento])&lt;TODAY()))</f>
        <v>1</v>
      </c>
    </row>
    <row r="34" spans="2:3" ht="28.05" customHeight="1" thickBot="1" x14ac:dyDescent="0.5">
      <c r="B34" s="31" t="s">
        <v>89</v>
      </c>
    </row>
    <row r="35" spans="2:3" ht="22.05" customHeight="1" x14ac:dyDescent="0.4">
      <c r="B35" s="107" t="str">
        <f>IFERROR(INDEX(tbMetas[Meta],1),"")</f>
        <v>Reserva de emergência</v>
      </c>
      <c r="C35" s="114">
        <f>IF(B35="","",INDEX(tbMetas[Progresso],1))</f>
        <v>0.4</v>
      </c>
    </row>
    <row r="36" spans="2:3" ht="22.05" customHeight="1" x14ac:dyDescent="0.4">
      <c r="B36" s="109" t="str">
        <f>IFERROR(INDEX(tbMetas[Meta],2),"")</f>
        <v>Viagem de férias</v>
      </c>
      <c r="C36" s="104">
        <f>IF(B36="","",INDEX(tbMetas[Progresso],2))</f>
        <v>0.36</v>
      </c>
    </row>
    <row r="37" spans="2:3" ht="22.05" customHeight="1" x14ac:dyDescent="0.4">
      <c r="B37" s="109" t="str">
        <f>IFERROR(INDEX(tbMetas[Meta],3),"")</f>
        <v>Notebook novo</v>
      </c>
      <c r="C37" s="104">
        <f>IF(B37="","",INDEX(tbMetas[Progresso],3))</f>
        <v>0.26666666666666666</v>
      </c>
    </row>
    <row r="38" spans="2:3" ht="22.05" customHeight="1" x14ac:dyDescent="0.4">
      <c r="B38" s="108" t="str">
        <f>IFERROR(INDEX(tbMetas[Meta],4),"")</f>
        <v>Entrada do apartamento</v>
      </c>
      <c r="C38" s="103">
        <f>IF(B38="","",INDEX(tbMetas[Progresso],4))</f>
        <v>7.4999999999999997E-2</v>
      </c>
    </row>
    <row r="40" spans="2:3" ht="28.05" customHeight="1" thickBot="1" x14ac:dyDescent="0.5">
      <c r="B40" s="31" t="s">
        <v>178</v>
      </c>
    </row>
    <row r="41" spans="2:3" ht="22.05" customHeight="1" x14ac:dyDescent="0.45">
      <c r="B41" s="92" t="s">
        <v>200</v>
      </c>
      <c r="C41" s="115">
        <f>SUM(tbPatrimonio[Valor atual])</f>
        <v>17357.900000000001</v>
      </c>
    </row>
    <row r="42" spans="2:3" ht="22.05" customHeight="1" x14ac:dyDescent="0.4">
      <c r="B42" s="95" t="s">
        <v>195</v>
      </c>
      <c r="C42" s="112">
        <f>SUM(tbPatrimonio[Rendimento])</f>
        <v>757.90000000000009</v>
      </c>
    </row>
    <row r="43" spans="2:3" ht="22.05" customHeight="1" x14ac:dyDescent="0.4">
      <c r="B43" s="95" t="s">
        <v>292</v>
      </c>
      <c r="C43" s="96">
        <f>SUM(tbDividas[Saldo devedor])</f>
        <v>12045.200542367636</v>
      </c>
    </row>
    <row r="44" spans="2:3" ht="22.05" customHeight="1" x14ac:dyDescent="0.4">
      <c r="B44" s="94" t="s">
        <v>293</v>
      </c>
      <c r="C44" s="98">
        <f>C41-C43</f>
        <v>5312.699457632365</v>
      </c>
    </row>
    <row r="45" spans="2:3" x14ac:dyDescent="0.4">
      <c r="B45" s="50"/>
    </row>
    <row r="46" spans="2:3" ht="28.05" customHeight="1" thickBot="1" x14ac:dyDescent="0.5">
      <c r="B46" s="31" t="s">
        <v>34</v>
      </c>
    </row>
    <row r="47" spans="2:3" ht="22.05" customHeight="1" x14ac:dyDescent="0.4">
      <c r="B47" s="92" t="s">
        <v>294</v>
      </c>
      <c r="C47" s="148">
        <f>SUMPRODUCT(tbParcelas[Valor da parcela]*(tbParcelas[1ª fatura]&lt;=$C$6)*(tbParcelas[Última fatura]&gt;=$C$6))</f>
        <v>920</v>
      </c>
    </row>
    <row r="48" spans="2:3" ht="22.05" customHeight="1" x14ac:dyDescent="0.4">
      <c r="B48" s="94" t="s">
        <v>295</v>
      </c>
      <c r="C48" s="111">
        <f>IFERROR(SUMPRODUCT(tbParcelas[Valor da parcela]*(((((YEAR(tbParcelas[Última fatura])-YEAR($C$6))*12+MONTH(tbParcelas[Última fatura])-MONTH($C$6))&gt;0)*((YEAR(tbParcelas[Última fatura])-YEAR($C$6))*12+MONTH(tbParcelas[Última fatura])-MONTH($C$6)))-(((((YEAR(tbParcelas[Última fatura])-YEAR($C$6))*12+MONTH(tbParcelas[Última fatura])-MONTH($C$6))&gt;0)*((YEAR(tbParcelas[Última fatura])-YEAR($C$6))*12+MONTH(tbParcelas[Última fatura])-MONTH($C$6)))&gt;tbParcelas[Parcelas])*(((((YEAR(tbParcelas[Última fatura])-YEAR($C$6))*12+MONTH(tbParcelas[Última fatura])-MONTH($C$6))&gt;0)*((YEAR(tbParcelas[Última fatura])-YEAR($C$6))*12+MONTH(tbParcelas[Última fatura])-MONTH($C$6)))-tbParcelas[Parcelas]))),0)</f>
        <v>5800</v>
      </c>
    </row>
    <row r="50" spans="2:2" x14ac:dyDescent="0.4">
      <c r="B50" s="50" t="s">
        <v>214</v>
      </c>
    </row>
    <row r="51" spans="2:2" x14ac:dyDescent="0.4">
      <c r="B51" s="50" t="s">
        <v>215</v>
      </c>
    </row>
    <row r="53" spans="2:2" x14ac:dyDescent="0.4">
      <c r="B53" s="193" t="str">
        <f>HYPERLINK("https://ottavvi.github.io/site-portfolio/","Criado por Otávio · ottavvi.dev")</f>
        <v>Criado por Otávio · ottavvi.dev</v>
      </c>
    </row>
  </sheetData>
  <mergeCells count="1">
    <mergeCell ref="B2:C2"/>
  </mergeCells>
  <conditionalFormatting sqref="C12">
    <cfRule type="cellIs" dxfId="21" priority="1" stopIfTrue="1" operator="lessThan">
      <formula>0</formula>
    </cfRule>
  </conditionalFormatting>
  <conditionalFormatting sqref="C14">
    <cfRule type="cellIs" dxfId="20" priority="2" stopIfTrue="1" operator="greaterThan">
      <formula>0</formula>
    </cfRule>
    <cfRule type="cellIs" dxfId="19" priority="3" stopIfTrue="1" operator="lessThan">
      <formula>0</formula>
    </cfRule>
  </conditionalFormatting>
  <conditionalFormatting sqref="C18">
    <cfRule type="dataBar" priority="4">
      <dataBar>
        <cfvo type="num" val="0"/>
        <cfvo type="num" val="1"/>
        <color rgb="FF22B39A"/>
      </dataBar>
      <extLst>
        <ext xmlns:x14="http://schemas.microsoft.com/office/spreadsheetml/2009/9/main" uri="{B025F937-C7B1-47D3-B67F-A62EFF666E3E}">
          <x14:id>{608A448B-023D-44A0-9BD2-3B5B8F2154CC}</x14:id>
        </ext>
      </extLst>
    </cfRule>
    <cfRule type="cellIs" dxfId="18" priority="5" stopIfTrue="1" operator="greaterThan">
      <formula>1</formula>
    </cfRule>
  </conditionalFormatting>
  <conditionalFormatting sqref="C20">
    <cfRule type="cellIs" dxfId="17" priority="6" stopIfTrue="1" operator="greaterThan">
      <formula>1</formula>
    </cfRule>
  </conditionalFormatting>
  <conditionalFormatting sqref="C23:C27">
    <cfRule type="dataBar" priority="7">
      <dataBar>
        <cfvo type="min"/>
        <cfvo type="max"/>
        <color rgb="FF22B39A"/>
      </dataBar>
      <extLst>
        <ext xmlns:x14="http://schemas.microsoft.com/office/spreadsheetml/2009/9/main" uri="{B025F937-C7B1-47D3-B67F-A62EFF666E3E}">
          <x14:id>{F4EC4948-B45B-44BE-A328-5E1587BE04CC}</x14:id>
        </ext>
      </extLst>
    </cfRule>
  </conditionalFormatting>
  <conditionalFormatting sqref="C32">
    <cfRule type="cellIs" dxfId="16" priority="8" stopIfTrue="1" operator="greaterThan">
      <formula>0</formula>
    </cfRule>
    <cfRule type="cellIs" dxfId="15" priority="9" stopIfTrue="1" operator="equal">
      <formula>0</formula>
    </cfRule>
  </conditionalFormatting>
  <conditionalFormatting sqref="C35:C38">
    <cfRule type="dataBar" priority="10">
      <dataBar>
        <cfvo type="num" val="0"/>
        <cfvo type="num" val="1"/>
        <color rgb="FF22B39A"/>
      </dataBar>
      <extLst>
        <ext xmlns:x14="http://schemas.microsoft.com/office/spreadsheetml/2009/9/main" uri="{B025F937-C7B1-47D3-B67F-A62EFF666E3E}">
          <x14:id>{D050A79B-B97B-4FB9-A948-B59771ECEB38}</x14:id>
        </ext>
      </extLst>
    </cfRule>
  </conditionalFormatting>
  <dataValidations count="1">
    <dataValidation type="list" allowBlank="1" showInputMessage="1" sqref="C6" xr:uid="{0AE933BB-BB1D-4360-A2E3-E87F07FBDC0E}">
      <formula1>lstMeses</formula1>
    </dataValidation>
  </dataValidations>
  <printOptions horizontalCentered="1"/>
  <pageMargins left="0.511811024" right="0.511811024" top="0.78740157499999996" bottom="0.78740157499999996" header="0.31496062000000002" footer="0.31496062000000002"/>
  <pageSetup paperSize="9" scale="59" orientation="portrait" r:id="rId1"/>
  <headerFooter>
    <oddFooter>&amp;CPágina &amp;P de &amp;N&amp;L&amp;A&amp;R&amp;8Criado por Otávio · ottavvi.dev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08A448B-023D-44A0-9BD2-3B5B8F2154CC}">
            <x14:dataBar minLength="0" maxLength="100" gradient="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C18</xm:sqref>
        </x14:conditionalFormatting>
        <x14:conditionalFormatting xmlns:xm="http://schemas.microsoft.com/office/excel/2006/main">
          <x14:cfRule type="dataBar" id="{F4EC4948-B45B-44BE-A328-5E1587BE04CC}">
            <x14:dataBar minLength="0" maxLength="100" gradient="0" negativeBarColorSameAsPositive="1" axisPosition="none">
              <x14:cfvo type="min"/>
              <x14:cfvo type="max"/>
            </x14:dataBar>
          </x14:cfRule>
          <xm:sqref>C23:C27</xm:sqref>
        </x14:conditionalFormatting>
        <x14:conditionalFormatting xmlns:xm="http://schemas.microsoft.com/office/excel/2006/main">
          <x14:cfRule type="dataBar" id="{D050A79B-B97B-4FB9-A948-B59771ECEB38}">
            <x14:dataBar minLength="0" maxLength="100" gradient="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C35:C38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24CE5-6932-4B5E-BA4A-C2AE9D062ECB}">
  <sheetPr>
    <tabColor rgb="FF6FD6C8"/>
    <pageSetUpPr fitToPage="1"/>
  </sheetPr>
  <dimension ref="B1:M299"/>
  <sheetViews>
    <sheetView showGridLines="0" workbookViewId="0">
      <pane ySplit="5" topLeftCell="A6" activePane="bottomLeft" state="frozen"/>
      <selection pane="bottomLeft"/>
    </sheetView>
  </sheetViews>
  <sheetFormatPr defaultRowHeight="15" x14ac:dyDescent="0.35"/>
  <cols>
    <col min="1" max="1" width="2.77734375" style="2" customWidth="1"/>
    <col min="2" max="2" width="12.77734375" style="2" customWidth="1"/>
    <col min="3" max="3" width="30.77734375" style="2" customWidth="1"/>
    <col min="4" max="4" width="24.77734375" style="2" customWidth="1"/>
    <col min="5" max="5" width="13.77734375" style="2" customWidth="1"/>
    <col min="6" max="6" width="18.77734375" style="2" customWidth="1"/>
    <col min="7" max="7" width="13.77734375" style="2" customWidth="1"/>
    <col min="8" max="8" width="15.77734375" style="2" customWidth="1"/>
    <col min="9" max="9" width="11.77734375" style="2" customWidth="1"/>
    <col min="10" max="10" width="8.88671875" style="2"/>
    <col min="11" max="11" width="60.77734375" style="2" customWidth="1"/>
    <col min="12" max="16384" width="8.88671875" style="2"/>
  </cols>
  <sheetData>
    <row r="1" spans="2:13" ht="34.049999999999997" customHeight="1" x14ac:dyDescent="0.35">
      <c r="B1" s="4" t="s">
        <v>40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2:13" ht="19.95" customHeight="1" x14ac:dyDescent="0.35">
      <c r="B2" s="5" t="s">
        <v>41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2:13" ht="19.95" customHeight="1" x14ac:dyDescent="0.35">
      <c r="B3" s="7" t="str">
        <f>HYPERLINK("#'Painel'!A1","Painel")</f>
        <v>Painel</v>
      </c>
      <c r="C3" s="7" t="str">
        <f>HYPERLINK("#'Celular'!A1","Celular")</f>
        <v>Celular</v>
      </c>
      <c r="D3" s="8" t="s">
        <v>42</v>
      </c>
      <c r="E3" s="7" t="str">
        <f>HYPERLINK("#'Contas fixas'!A1","Contas")</f>
        <v>Contas</v>
      </c>
      <c r="F3" s="7" t="str">
        <f>HYPERLINK("#'Cartão'!A1","Cartão")</f>
        <v>Cartão</v>
      </c>
      <c r="G3" s="7" t="str">
        <f>HYPERLINK("#'Dívidas'!A1","Dívidas")</f>
        <v>Dívidas</v>
      </c>
      <c r="H3" s="7" t="str">
        <f>HYPERLINK("#'Categorias'!A1","Categorias")</f>
        <v>Categorias</v>
      </c>
      <c r="I3" s="7" t="str">
        <f>HYPERLINK("#'Metas'!A1","Metas")</f>
        <v>Metas</v>
      </c>
      <c r="J3" s="7" t="str">
        <f>HYPERLINK("#'Patrimônio'!A1","Patrimônio")</f>
        <v>Patrimônio</v>
      </c>
      <c r="K3" s="7" t="str">
        <f>HYPERLINK("#'Simulador'!A1","Simulador")</f>
        <v>Simulador</v>
      </c>
      <c r="L3" s="7" t="str">
        <f>HYPERLINK("#'Resumo'!A1","Resumo")</f>
        <v>Resumo</v>
      </c>
      <c r="M3" s="7" t="str">
        <f>HYPERLINK("#'Como usar'!A1","Ajuda")</f>
        <v>Ajuda</v>
      </c>
    </row>
    <row r="5" spans="2:13" ht="15.6" thickBot="1" x14ac:dyDescent="0.4">
      <c r="B5" s="16" t="s">
        <v>43</v>
      </c>
      <c r="C5" s="16" t="s">
        <v>44</v>
      </c>
      <c r="D5" s="16" t="s">
        <v>3</v>
      </c>
      <c r="E5" s="16" t="s">
        <v>45</v>
      </c>
      <c r="F5" s="16" t="s">
        <v>32</v>
      </c>
      <c r="G5" s="16" t="s">
        <v>4</v>
      </c>
      <c r="H5" s="16" t="s">
        <v>5</v>
      </c>
      <c r="I5" s="16" t="s">
        <v>83</v>
      </c>
      <c r="K5" s="14" t="s">
        <v>84</v>
      </c>
    </row>
    <row r="6" spans="2:13" x14ac:dyDescent="0.35">
      <c r="B6" s="151">
        <v>46026</v>
      </c>
      <c r="C6" s="71" t="s">
        <v>46</v>
      </c>
      <c r="D6" s="71" t="s">
        <v>16</v>
      </c>
      <c r="E6" s="20">
        <v>277.48</v>
      </c>
      <c r="F6" s="71" t="s">
        <v>34</v>
      </c>
      <c r="G6" s="152" t="str">
        <f>IFERROR(INDEX(tbCategorias[Tipo],MATCH(tbLancamentos[[#This Row],[Categoria]],tbCategorias[Categoria],0)),"Categoria?")</f>
        <v>Despesa</v>
      </c>
      <c r="H6" s="152" t="str">
        <f>IFERROR(INDEX(tbCategorias[Grupo],MATCH(tbLancamentos[[#This Row],[Categoria]],tbCategorias[Categoria],0)),"")</f>
        <v>Essencial</v>
      </c>
      <c r="I6" s="153">
        <f>IF(tbLancamentos[[#This Row],[Data]]="","",DATE(YEAR(tbLancamentos[[#This Row],[Data]]),MONTH(tbLancamentos[[#This Row],[Data]]),1))</f>
        <v>46023</v>
      </c>
      <c r="K6" s="2" t="s">
        <v>85</v>
      </c>
    </row>
    <row r="7" spans="2:13" x14ac:dyDescent="0.35">
      <c r="B7" s="154">
        <v>46026</v>
      </c>
      <c r="C7" s="73" t="s">
        <v>47</v>
      </c>
      <c r="D7" s="73" t="s">
        <v>11</v>
      </c>
      <c r="E7" s="23">
        <v>83.79</v>
      </c>
      <c r="F7" s="73" t="s">
        <v>33</v>
      </c>
      <c r="G7" s="155" t="str">
        <f>IFERROR(INDEX(tbCategorias[Tipo],MATCH(tbLancamentos[[#This Row],[Categoria]],tbCategorias[Categoria],0)),"Categoria?")</f>
        <v>Receita</v>
      </c>
      <c r="H7" s="155" t="str">
        <f>IFERROR(INDEX(tbCategorias[Grupo],MATCH(tbLancamentos[[#This Row],[Categoria]],tbCategorias[Categoria],0)),"")</f>
        <v>Renda</v>
      </c>
      <c r="I7" s="156">
        <f>IF(tbLancamentos[[#This Row],[Data]]="","",DATE(YEAR(tbLancamentos[[#This Row],[Data]]),MONTH(tbLancamentos[[#This Row],[Data]]),1))</f>
        <v>46023</v>
      </c>
      <c r="K7" s="2" t="s">
        <v>326</v>
      </c>
    </row>
    <row r="8" spans="2:13" x14ac:dyDescent="0.35">
      <c r="B8" s="154">
        <v>46026</v>
      </c>
      <c r="C8" s="73" t="s">
        <v>48</v>
      </c>
      <c r="D8" s="73" t="s">
        <v>20</v>
      </c>
      <c r="E8" s="23">
        <v>32.69</v>
      </c>
      <c r="F8" s="73" t="s">
        <v>33</v>
      </c>
      <c r="G8" s="155" t="str">
        <f>IFERROR(INDEX(tbCategorias[Tipo],MATCH(tbLancamentos[[#This Row],[Categoria]],tbCategorias[Categoria],0)),"Categoria?")</f>
        <v>Despesa</v>
      </c>
      <c r="H8" s="155" t="str">
        <f>IFERROR(INDEX(tbCategorias[Grupo],MATCH(tbLancamentos[[#This Row],[Categoria]],tbCategorias[Categoria],0)),"")</f>
        <v>Estilo de vida</v>
      </c>
      <c r="I8" s="156">
        <f>IF(tbLancamentos[[#This Row],[Data]]="","",DATE(YEAR(tbLancamentos[[#This Row],[Data]]),MONTH(tbLancamentos[[#This Row],[Data]]),1))</f>
        <v>46023</v>
      </c>
      <c r="K8" s="2" t="s">
        <v>86</v>
      </c>
    </row>
    <row r="9" spans="2:13" x14ac:dyDescent="0.35">
      <c r="B9" s="154">
        <v>46027</v>
      </c>
      <c r="C9" s="73" t="s">
        <v>7</v>
      </c>
      <c r="D9" s="73" t="s">
        <v>7</v>
      </c>
      <c r="E9" s="23">
        <v>5800</v>
      </c>
      <c r="F9" s="73" t="s">
        <v>33</v>
      </c>
      <c r="G9" s="155" t="str">
        <f>IFERROR(INDEX(tbCategorias[Tipo],MATCH(tbLancamentos[[#This Row],[Categoria]],tbCategorias[Categoria],0)),"Categoria?")</f>
        <v>Receita</v>
      </c>
      <c r="H9" s="155" t="str">
        <f>IFERROR(INDEX(tbCategorias[Grupo],MATCH(tbLancamentos[[#This Row],[Categoria]],tbCategorias[Categoria],0)),"")</f>
        <v>Renda</v>
      </c>
      <c r="I9" s="156">
        <f>IF(tbLancamentos[[#This Row],[Data]]="","",DATE(YEAR(tbLancamentos[[#This Row],[Data]]),MONTH(tbLancamentos[[#This Row],[Data]]),1))</f>
        <v>46023</v>
      </c>
    </row>
    <row r="10" spans="2:13" x14ac:dyDescent="0.35">
      <c r="B10" s="154">
        <v>46028</v>
      </c>
      <c r="C10" s="73" t="s">
        <v>49</v>
      </c>
      <c r="D10" s="73" t="s">
        <v>17</v>
      </c>
      <c r="E10" s="23">
        <v>136.41</v>
      </c>
      <c r="F10" s="73" t="s">
        <v>34</v>
      </c>
      <c r="G10" s="155" t="str">
        <f>IFERROR(INDEX(tbCategorias[Tipo],MATCH(tbLancamentos[[#This Row],[Categoria]],tbCategorias[Categoria],0)),"Categoria?")</f>
        <v>Despesa</v>
      </c>
      <c r="H10" s="155" t="str">
        <f>IFERROR(INDEX(tbCategorias[Grupo],MATCH(tbLancamentos[[#This Row],[Categoria]],tbCategorias[Categoria],0)),"")</f>
        <v>Essencial</v>
      </c>
      <c r="I10" s="156">
        <f>IF(tbLancamentos[[#This Row],[Data]]="","",DATE(YEAR(tbLancamentos[[#This Row],[Data]]),MONTH(tbLancamentos[[#This Row],[Data]]),1))</f>
        <v>46023</v>
      </c>
    </row>
    <row r="11" spans="2:13" x14ac:dyDescent="0.35">
      <c r="B11" s="154">
        <v>46029</v>
      </c>
      <c r="C11" s="73" t="s">
        <v>50</v>
      </c>
      <c r="D11" s="73" t="s">
        <v>26</v>
      </c>
      <c r="E11" s="23">
        <v>600</v>
      </c>
      <c r="F11" s="73" t="s">
        <v>33</v>
      </c>
      <c r="G11" s="155" t="str">
        <f>IFERROR(INDEX(tbCategorias[Tipo],MATCH(tbLancamentos[[#This Row],[Categoria]],tbCategorias[Categoria],0)),"Categoria?")</f>
        <v>Investimento</v>
      </c>
      <c r="H11" s="155" t="str">
        <f>IFERROR(INDEX(tbCategorias[Grupo],MATCH(tbLancamentos[[#This Row],[Categoria]],tbCategorias[Categoria],0)),"")</f>
        <v>Investimento</v>
      </c>
      <c r="I11" s="156">
        <f>IF(tbLancamentos[[#This Row],[Data]]="","",DATE(YEAR(tbLancamentos[[#This Row],[Data]]),MONTH(tbLancamentos[[#This Row],[Data]]),1))</f>
        <v>46023</v>
      </c>
    </row>
    <row r="12" spans="2:13" x14ac:dyDescent="0.35">
      <c r="B12" s="154">
        <v>46030</v>
      </c>
      <c r="C12" s="73" t="s">
        <v>51</v>
      </c>
      <c r="D12" s="73" t="s">
        <v>22</v>
      </c>
      <c r="E12" s="23">
        <v>60.11</v>
      </c>
      <c r="F12" s="73" t="s">
        <v>34</v>
      </c>
      <c r="G12" s="155" t="str">
        <f>IFERROR(INDEX(tbCategorias[Tipo],MATCH(tbLancamentos[[#This Row],[Categoria]],tbCategorias[Categoria],0)),"Categoria?")</f>
        <v>Despesa</v>
      </c>
      <c r="H12" s="155" t="str">
        <f>IFERROR(INDEX(tbCategorias[Grupo],MATCH(tbLancamentos[[#This Row],[Categoria]],tbCategorias[Categoria],0)),"")</f>
        <v>Estilo de vida</v>
      </c>
      <c r="I12" s="156">
        <f>IF(tbLancamentos[[#This Row],[Data]]="","",DATE(YEAR(tbLancamentos[[#This Row],[Data]]),MONTH(tbLancamentos[[#This Row],[Data]]),1))</f>
        <v>46023</v>
      </c>
    </row>
    <row r="13" spans="2:13" x14ac:dyDescent="0.35">
      <c r="B13" s="154">
        <v>46030</v>
      </c>
      <c r="C13" s="73" t="s">
        <v>52</v>
      </c>
      <c r="D13" s="73" t="s">
        <v>18</v>
      </c>
      <c r="E13" s="23">
        <v>99.9</v>
      </c>
      <c r="F13" s="73" t="s">
        <v>34</v>
      </c>
      <c r="G13" s="155" t="str">
        <f>IFERROR(INDEX(tbCategorias[Tipo],MATCH(tbLancamentos[[#This Row],[Categoria]],tbCategorias[Categoria],0)),"Categoria?")</f>
        <v>Despesa</v>
      </c>
      <c r="H13" s="155" t="str">
        <f>IFERROR(INDEX(tbCategorias[Grupo],MATCH(tbLancamentos[[#This Row],[Categoria]],tbCategorias[Categoria],0)),"")</f>
        <v>Essencial</v>
      </c>
      <c r="I13" s="156">
        <f>IF(tbLancamentos[[#This Row],[Data]]="","",DATE(YEAR(tbLancamentos[[#This Row],[Data]]),MONTH(tbLancamentos[[#This Row],[Data]]),1))</f>
        <v>46023</v>
      </c>
    </row>
    <row r="14" spans="2:13" x14ac:dyDescent="0.35">
      <c r="B14" s="154">
        <v>46030</v>
      </c>
      <c r="C14" s="73" t="s">
        <v>53</v>
      </c>
      <c r="D14" s="73" t="s">
        <v>20</v>
      </c>
      <c r="E14" s="23">
        <v>103.54</v>
      </c>
      <c r="F14" s="73" t="s">
        <v>34</v>
      </c>
      <c r="G14" s="155" t="str">
        <f>IFERROR(INDEX(tbCategorias[Tipo],MATCH(tbLancamentos[[#This Row],[Categoria]],tbCategorias[Categoria],0)),"Categoria?")</f>
        <v>Despesa</v>
      </c>
      <c r="H14" s="155" t="str">
        <f>IFERROR(INDEX(tbCategorias[Grupo],MATCH(tbLancamentos[[#This Row],[Categoria]],tbCategorias[Categoria],0)),"")</f>
        <v>Estilo de vida</v>
      </c>
      <c r="I14" s="156">
        <f>IF(tbLancamentos[[#This Row],[Data]]="","",DATE(YEAR(tbLancamentos[[#This Row],[Data]]),MONTH(tbLancamentos[[#This Row],[Data]]),1))</f>
        <v>46023</v>
      </c>
    </row>
    <row r="15" spans="2:13" x14ac:dyDescent="0.35">
      <c r="B15" s="154">
        <v>46030</v>
      </c>
      <c r="C15" s="73" t="s">
        <v>54</v>
      </c>
      <c r="D15" s="73" t="s">
        <v>18</v>
      </c>
      <c r="E15" s="23">
        <v>59.9</v>
      </c>
      <c r="F15" s="73" t="s">
        <v>36</v>
      </c>
      <c r="G15" s="155" t="str">
        <f>IFERROR(INDEX(tbCategorias[Tipo],MATCH(tbLancamentos[[#This Row],[Categoria]],tbCategorias[Categoria],0)),"Categoria?")</f>
        <v>Despesa</v>
      </c>
      <c r="H15" s="155" t="str">
        <f>IFERROR(INDEX(tbCategorias[Grupo],MATCH(tbLancamentos[[#This Row],[Categoria]],tbCategorias[Categoria],0)),"")</f>
        <v>Essencial</v>
      </c>
      <c r="I15" s="156">
        <f>IF(tbLancamentos[[#This Row],[Data]]="","",DATE(YEAR(tbLancamentos[[#This Row],[Data]]),MONTH(tbLancamentos[[#This Row],[Data]]),1))</f>
        <v>46023</v>
      </c>
    </row>
    <row r="16" spans="2:13" x14ac:dyDescent="0.35">
      <c r="B16" s="154">
        <v>46032</v>
      </c>
      <c r="C16" s="73" t="s">
        <v>55</v>
      </c>
      <c r="D16" s="73" t="s">
        <v>12</v>
      </c>
      <c r="E16" s="23">
        <v>1200</v>
      </c>
      <c r="F16" s="73" t="s">
        <v>36</v>
      </c>
      <c r="G16" s="155" t="str">
        <f>IFERROR(INDEX(tbCategorias[Tipo],MATCH(tbLancamentos[[#This Row],[Categoria]],tbCategorias[Categoria],0)),"Categoria?")</f>
        <v>Despesa</v>
      </c>
      <c r="H16" s="155" t="str">
        <f>IFERROR(INDEX(tbCategorias[Grupo],MATCH(tbLancamentos[[#This Row],[Categoria]],tbCategorias[Categoria],0)),"")</f>
        <v>Essencial</v>
      </c>
      <c r="I16" s="156">
        <f>IF(tbLancamentos[[#This Row],[Data]]="","",DATE(YEAR(tbLancamentos[[#This Row],[Data]]),MONTH(tbLancamentos[[#This Row],[Data]]),1))</f>
        <v>46023</v>
      </c>
    </row>
    <row r="17" spans="2:9" x14ac:dyDescent="0.35">
      <c r="B17" s="154">
        <v>46032</v>
      </c>
      <c r="C17" s="73" t="s">
        <v>56</v>
      </c>
      <c r="D17" s="73" t="s">
        <v>16</v>
      </c>
      <c r="E17" s="23">
        <v>180.45</v>
      </c>
      <c r="F17" s="73" t="s">
        <v>35</v>
      </c>
      <c r="G17" s="155" t="str">
        <f>IFERROR(INDEX(tbCategorias[Tipo],MATCH(tbLancamentos[[#This Row],[Categoria]],tbCategorias[Categoria],0)),"Categoria?")</f>
        <v>Despesa</v>
      </c>
      <c r="H17" s="155" t="str">
        <f>IFERROR(INDEX(tbCategorias[Grupo],MATCH(tbLancamentos[[#This Row],[Categoria]],tbCategorias[Categoria],0)),"")</f>
        <v>Essencial</v>
      </c>
      <c r="I17" s="156">
        <f>IF(tbLancamentos[[#This Row],[Data]]="","",DATE(YEAR(tbLancamentos[[#This Row],[Data]]),MONTH(tbLancamentos[[#This Row],[Data]]),1))</f>
        <v>46023</v>
      </c>
    </row>
    <row r="18" spans="2:9" x14ac:dyDescent="0.35">
      <c r="B18" s="154">
        <v>46034</v>
      </c>
      <c r="C18" s="73" t="s">
        <v>57</v>
      </c>
      <c r="D18" s="73" t="s">
        <v>15</v>
      </c>
      <c r="E18" s="23">
        <v>156.26</v>
      </c>
      <c r="F18" s="73" t="s">
        <v>36</v>
      </c>
      <c r="G18" s="155" t="str">
        <f>IFERROR(INDEX(tbCategorias[Tipo],MATCH(tbLancamentos[[#This Row],[Categoria]],tbCategorias[Categoria],0)),"Categoria?")</f>
        <v>Despesa</v>
      </c>
      <c r="H18" s="155" t="str">
        <f>IFERROR(INDEX(tbCategorias[Grupo],MATCH(tbLancamentos[[#This Row],[Categoria]],tbCategorias[Categoria],0)),"")</f>
        <v>Essencial</v>
      </c>
      <c r="I18" s="156">
        <f>IF(tbLancamentos[[#This Row],[Data]]="","",DATE(YEAR(tbLancamentos[[#This Row],[Data]]),MONTH(tbLancamentos[[#This Row],[Data]]),1))</f>
        <v>46023</v>
      </c>
    </row>
    <row r="19" spans="2:9" x14ac:dyDescent="0.35">
      <c r="B19" s="154">
        <v>46035</v>
      </c>
      <c r="C19" s="73" t="s">
        <v>58</v>
      </c>
      <c r="D19" s="73" t="s">
        <v>24</v>
      </c>
      <c r="E19" s="23">
        <v>211.33</v>
      </c>
      <c r="F19" s="73" t="s">
        <v>34</v>
      </c>
      <c r="G19" s="155" t="str">
        <f>IFERROR(INDEX(tbCategorias[Tipo],MATCH(tbLancamentos[[#This Row],[Categoria]],tbCategorias[Categoria],0)),"Categoria?")</f>
        <v>Despesa</v>
      </c>
      <c r="H19" s="155" t="str">
        <f>IFERROR(INDEX(tbCategorias[Grupo],MATCH(tbLancamentos[[#This Row],[Categoria]],tbCategorias[Categoria],0)),"")</f>
        <v>Estilo de vida</v>
      </c>
      <c r="I19" s="156">
        <f>IF(tbLancamentos[[#This Row],[Data]]="","",DATE(YEAR(tbLancamentos[[#This Row],[Data]]),MONTH(tbLancamentos[[#This Row],[Data]]),1))</f>
        <v>46023</v>
      </c>
    </row>
    <row r="20" spans="2:9" x14ac:dyDescent="0.35">
      <c r="B20" s="154">
        <v>46036</v>
      </c>
      <c r="C20" s="73" t="s">
        <v>59</v>
      </c>
      <c r="D20" s="73" t="s">
        <v>23</v>
      </c>
      <c r="E20" s="23">
        <v>44.9</v>
      </c>
      <c r="F20" s="73" t="s">
        <v>34</v>
      </c>
      <c r="G20" s="155" t="str">
        <f>IFERROR(INDEX(tbCategorias[Tipo],MATCH(tbLancamentos[[#This Row],[Categoria]],tbCategorias[Categoria],0)),"Categoria?")</f>
        <v>Despesa</v>
      </c>
      <c r="H20" s="155" t="str">
        <f>IFERROR(INDEX(tbCategorias[Grupo],MATCH(tbLancamentos[[#This Row],[Categoria]],tbCategorias[Categoria],0)),"")</f>
        <v>Estilo de vida</v>
      </c>
      <c r="I20" s="156">
        <f>IF(tbLancamentos[[#This Row],[Data]]="","",DATE(YEAR(tbLancamentos[[#This Row],[Data]]),MONTH(tbLancamentos[[#This Row],[Data]]),1))</f>
        <v>46023</v>
      </c>
    </row>
    <row r="21" spans="2:9" x14ac:dyDescent="0.35">
      <c r="B21" s="154">
        <v>46036</v>
      </c>
      <c r="C21" s="73" t="s">
        <v>60</v>
      </c>
      <c r="D21" s="73" t="s">
        <v>23</v>
      </c>
      <c r="E21" s="23">
        <v>21.9</v>
      </c>
      <c r="F21" s="73" t="s">
        <v>34</v>
      </c>
      <c r="G21" s="155" t="str">
        <f>IFERROR(INDEX(tbCategorias[Tipo],MATCH(tbLancamentos[[#This Row],[Categoria]],tbCategorias[Categoria],0)),"Categoria?")</f>
        <v>Despesa</v>
      </c>
      <c r="H21" s="155" t="str">
        <f>IFERROR(INDEX(tbCategorias[Grupo],MATCH(tbLancamentos[[#This Row],[Categoria]],tbCategorias[Categoria],0)),"")</f>
        <v>Estilo de vida</v>
      </c>
      <c r="I21" s="156">
        <f>IF(tbLancamentos[[#This Row],[Data]]="","",DATE(YEAR(tbLancamentos[[#This Row],[Data]]),MONTH(tbLancamentos[[#This Row],[Data]]),1))</f>
        <v>46023</v>
      </c>
    </row>
    <row r="22" spans="2:9" x14ac:dyDescent="0.35">
      <c r="B22" s="154">
        <v>46036</v>
      </c>
      <c r="C22" s="73" t="s">
        <v>61</v>
      </c>
      <c r="D22" s="73" t="s">
        <v>20</v>
      </c>
      <c r="E22" s="23">
        <v>96.85</v>
      </c>
      <c r="F22" s="73" t="s">
        <v>34</v>
      </c>
      <c r="G22" s="155" t="str">
        <f>IFERROR(INDEX(tbCategorias[Tipo],MATCH(tbLancamentos[[#This Row],[Categoria]],tbCategorias[Categoria],0)),"Categoria?")</f>
        <v>Despesa</v>
      </c>
      <c r="H22" s="155" t="str">
        <f>IFERROR(INDEX(tbCategorias[Grupo],MATCH(tbLancamentos[[#This Row],[Categoria]],tbCategorias[Categoria],0)),"")</f>
        <v>Estilo de vida</v>
      </c>
      <c r="I22" s="156">
        <f>IF(tbLancamentos[[#This Row],[Data]]="","",DATE(YEAR(tbLancamentos[[#This Row],[Data]]),MONTH(tbLancamentos[[#This Row],[Data]]),1))</f>
        <v>46023</v>
      </c>
    </row>
    <row r="23" spans="2:9" x14ac:dyDescent="0.35">
      <c r="B23" s="154">
        <v>46036</v>
      </c>
      <c r="C23" s="73" t="s">
        <v>62</v>
      </c>
      <c r="D23" s="73" t="s">
        <v>17</v>
      </c>
      <c r="E23" s="23">
        <v>19.190000000000001</v>
      </c>
      <c r="F23" s="73" t="s">
        <v>34</v>
      </c>
      <c r="G23" s="155" t="str">
        <f>IFERROR(INDEX(tbCategorias[Tipo],MATCH(tbLancamentos[[#This Row],[Categoria]],tbCategorias[Categoria],0)),"Categoria?")</f>
        <v>Despesa</v>
      </c>
      <c r="H23" s="155" t="str">
        <f>IFERROR(INDEX(tbCategorias[Grupo],MATCH(tbLancamentos[[#This Row],[Categoria]],tbCategorias[Categoria],0)),"")</f>
        <v>Essencial</v>
      </c>
      <c r="I23" s="156">
        <f>IF(tbLancamentos[[#This Row],[Data]]="","",DATE(YEAR(tbLancamentos[[#This Row],[Data]]),MONTH(tbLancamentos[[#This Row],[Data]]),1))</f>
        <v>46023</v>
      </c>
    </row>
    <row r="24" spans="2:9" x14ac:dyDescent="0.35">
      <c r="B24" s="154">
        <v>46037</v>
      </c>
      <c r="C24" s="73" t="s">
        <v>63</v>
      </c>
      <c r="D24" s="73" t="s">
        <v>15</v>
      </c>
      <c r="E24" s="23">
        <v>86.73</v>
      </c>
      <c r="F24" s="73" t="s">
        <v>36</v>
      </c>
      <c r="G24" s="155" t="str">
        <f>IFERROR(INDEX(tbCategorias[Tipo],MATCH(tbLancamentos[[#This Row],[Categoria]],tbCategorias[Categoria],0)),"Categoria?")</f>
        <v>Despesa</v>
      </c>
      <c r="H24" s="155" t="str">
        <f>IFERROR(INDEX(tbCategorias[Grupo],MATCH(tbLancamentos[[#This Row],[Categoria]],tbCategorias[Categoria],0)),"")</f>
        <v>Essencial</v>
      </c>
      <c r="I24" s="156">
        <f>IF(tbLancamentos[[#This Row],[Data]]="","",DATE(YEAR(tbLancamentos[[#This Row],[Data]]),MONTH(tbLancamentos[[#This Row],[Data]]),1))</f>
        <v>46023</v>
      </c>
    </row>
    <row r="25" spans="2:9" x14ac:dyDescent="0.35">
      <c r="B25" s="154">
        <v>46038</v>
      </c>
      <c r="C25" s="73" t="s">
        <v>64</v>
      </c>
      <c r="D25" s="73" t="s">
        <v>22</v>
      </c>
      <c r="E25" s="23">
        <v>74.989999999999995</v>
      </c>
      <c r="F25" s="73" t="s">
        <v>37</v>
      </c>
      <c r="G25" s="155" t="str">
        <f>IFERROR(INDEX(tbCategorias[Tipo],MATCH(tbLancamentos[[#This Row],[Categoria]],tbCategorias[Categoria],0)),"Categoria?")</f>
        <v>Despesa</v>
      </c>
      <c r="H25" s="155" t="str">
        <f>IFERROR(INDEX(tbCategorias[Grupo],MATCH(tbLancamentos[[#This Row],[Categoria]],tbCategorias[Categoria],0)),"")</f>
        <v>Estilo de vida</v>
      </c>
      <c r="I25" s="156">
        <f>IF(tbLancamentos[[#This Row],[Data]]="","",DATE(YEAR(tbLancamentos[[#This Row],[Data]]),MONTH(tbLancamentos[[#This Row],[Data]]),1))</f>
        <v>46023</v>
      </c>
    </row>
    <row r="26" spans="2:9" x14ac:dyDescent="0.35">
      <c r="B26" s="154">
        <v>46039</v>
      </c>
      <c r="C26" s="73" t="s">
        <v>56</v>
      </c>
      <c r="D26" s="73" t="s">
        <v>16</v>
      </c>
      <c r="E26" s="23">
        <v>117.77</v>
      </c>
      <c r="F26" s="73" t="s">
        <v>33</v>
      </c>
      <c r="G26" s="155" t="str">
        <f>IFERROR(INDEX(tbCategorias[Tipo],MATCH(tbLancamentos[[#This Row],[Categoria]],tbCategorias[Categoria],0)),"Categoria?")</f>
        <v>Despesa</v>
      </c>
      <c r="H26" s="155" t="str">
        <f>IFERROR(INDEX(tbCategorias[Grupo],MATCH(tbLancamentos[[#This Row],[Categoria]],tbCategorias[Categoria],0)),"")</f>
        <v>Essencial</v>
      </c>
      <c r="I26" s="156">
        <f>IF(tbLancamentos[[#This Row],[Data]]="","",DATE(YEAR(tbLancamentos[[#This Row],[Data]]),MONTH(tbLancamentos[[#This Row],[Data]]),1))</f>
        <v>46023</v>
      </c>
    </row>
    <row r="27" spans="2:9" x14ac:dyDescent="0.35">
      <c r="B27" s="154">
        <v>46040</v>
      </c>
      <c r="C27" s="73" t="s">
        <v>53</v>
      </c>
      <c r="D27" s="73" t="s">
        <v>20</v>
      </c>
      <c r="E27" s="23">
        <v>45.15</v>
      </c>
      <c r="F27" s="73" t="s">
        <v>34</v>
      </c>
      <c r="G27" s="155" t="str">
        <f>IFERROR(INDEX(tbCategorias[Tipo],MATCH(tbLancamentos[[#This Row],[Categoria]],tbCategorias[Categoria],0)),"Categoria?")</f>
        <v>Despesa</v>
      </c>
      <c r="H27" s="155" t="str">
        <f>IFERROR(INDEX(tbCategorias[Grupo],MATCH(tbLancamentos[[#This Row],[Categoria]],tbCategorias[Categoria],0)),"")</f>
        <v>Estilo de vida</v>
      </c>
      <c r="I27" s="156">
        <f>IF(tbLancamentos[[#This Row],[Data]]="","",DATE(YEAR(tbLancamentos[[#This Row],[Data]]),MONTH(tbLancamentos[[#This Row],[Data]]),1))</f>
        <v>46023</v>
      </c>
    </row>
    <row r="28" spans="2:9" x14ac:dyDescent="0.35">
      <c r="B28" s="154">
        <v>46040</v>
      </c>
      <c r="C28" s="73" t="s">
        <v>65</v>
      </c>
      <c r="D28" s="73" t="s">
        <v>15</v>
      </c>
      <c r="E28" s="23">
        <v>99.9</v>
      </c>
      <c r="F28" s="73" t="s">
        <v>35</v>
      </c>
      <c r="G28" s="155" t="str">
        <f>IFERROR(INDEX(tbCategorias[Tipo],MATCH(tbLancamentos[[#This Row],[Categoria]],tbCategorias[Categoria],0)),"Categoria?")</f>
        <v>Despesa</v>
      </c>
      <c r="H28" s="155" t="str">
        <f>IFERROR(INDEX(tbCategorias[Grupo],MATCH(tbLancamentos[[#This Row],[Categoria]],tbCategorias[Categoria],0)),"")</f>
        <v>Essencial</v>
      </c>
      <c r="I28" s="156">
        <f>IF(tbLancamentos[[#This Row],[Data]]="","",DATE(YEAR(tbLancamentos[[#This Row],[Data]]),MONTH(tbLancamentos[[#This Row],[Data]]),1))</f>
        <v>46023</v>
      </c>
    </row>
    <row r="29" spans="2:9" x14ac:dyDescent="0.35">
      <c r="B29" s="154">
        <v>46040</v>
      </c>
      <c r="C29" s="73" t="s">
        <v>62</v>
      </c>
      <c r="D29" s="73" t="s">
        <v>17</v>
      </c>
      <c r="E29" s="23">
        <v>21.99</v>
      </c>
      <c r="F29" s="73" t="s">
        <v>34</v>
      </c>
      <c r="G29" s="155" t="str">
        <f>IFERROR(INDEX(tbCategorias[Tipo],MATCH(tbLancamentos[[#This Row],[Categoria]],tbCategorias[Categoria],0)),"Categoria?")</f>
        <v>Despesa</v>
      </c>
      <c r="H29" s="155" t="str">
        <f>IFERROR(INDEX(tbCategorias[Grupo],MATCH(tbLancamentos[[#This Row],[Categoria]],tbCategorias[Categoria],0)),"")</f>
        <v>Essencial</v>
      </c>
      <c r="I29" s="156">
        <f>IF(tbLancamentos[[#This Row],[Data]]="","",DATE(YEAR(tbLancamentos[[#This Row],[Data]]),MONTH(tbLancamentos[[#This Row],[Data]]),1))</f>
        <v>46023</v>
      </c>
    </row>
    <row r="30" spans="2:9" x14ac:dyDescent="0.35">
      <c r="B30" s="154">
        <v>46041</v>
      </c>
      <c r="C30" s="73" t="s">
        <v>49</v>
      </c>
      <c r="D30" s="73" t="s">
        <v>17</v>
      </c>
      <c r="E30" s="23">
        <v>145.29</v>
      </c>
      <c r="F30" s="73" t="s">
        <v>34</v>
      </c>
      <c r="G30" s="155" t="str">
        <f>IFERROR(INDEX(tbCategorias[Tipo],MATCH(tbLancamentos[[#This Row],[Categoria]],tbCategorias[Categoria],0)),"Categoria?")</f>
        <v>Despesa</v>
      </c>
      <c r="H30" s="155" t="str">
        <f>IFERROR(INDEX(tbCategorias[Grupo],MATCH(tbLancamentos[[#This Row],[Categoria]],tbCategorias[Categoria],0)),"")</f>
        <v>Essencial</v>
      </c>
      <c r="I30" s="156">
        <f>IF(tbLancamentos[[#This Row],[Data]]="","",DATE(YEAR(tbLancamentos[[#This Row],[Data]]),MONTH(tbLancamentos[[#This Row],[Data]]),1))</f>
        <v>46023</v>
      </c>
    </row>
    <row r="31" spans="2:9" x14ac:dyDescent="0.35">
      <c r="B31" s="154">
        <v>46042</v>
      </c>
      <c r="C31" s="73" t="s">
        <v>66</v>
      </c>
      <c r="D31" s="73" t="s">
        <v>19</v>
      </c>
      <c r="E31" s="23">
        <v>79.900000000000006</v>
      </c>
      <c r="F31" s="73" t="s">
        <v>34</v>
      </c>
      <c r="G31" s="155" t="str">
        <f>IFERROR(INDEX(tbCategorias[Tipo],MATCH(tbLancamentos[[#This Row],[Categoria]],tbCategorias[Categoria],0)),"Categoria?")</f>
        <v>Despesa</v>
      </c>
      <c r="H31" s="155" t="str">
        <f>IFERROR(INDEX(tbCategorias[Grupo],MATCH(tbLancamentos[[#This Row],[Categoria]],tbCategorias[Categoria],0)),"")</f>
        <v>Essencial</v>
      </c>
      <c r="I31" s="156">
        <f>IF(tbLancamentos[[#This Row],[Data]]="","",DATE(YEAR(tbLancamentos[[#This Row],[Data]]),MONTH(tbLancamentos[[#This Row],[Data]]),1))</f>
        <v>46023</v>
      </c>
    </row>
    <row r="32" spans="2:9" x14ac:dyDescent="0.35">
      <c r="B32" s="154">
        <v>46042</v>
      </c>
      <c r="C32" s="73" t="s">
        <v>67</v>
      </c>
      <c r="D32" s="73" t="s">
        <v>15</v>
      </c>
      <c r="E32" s="23">
        <v>49.9</v>
      </c>
      <c r="F32" s="73" t="s">
        <v>34</v>
      </c>
      <c r="G32" s="155" t="str">
        <f>IFERROR(INDEX(tbCategorias[Tipo],MATCH(tbLancamentos[[#This Row],[Categoria]],tbCategorias[Categoria],0)),"Categoria?")</f>
        <v>Despesa</v>
      </c>
      <c r="H32" s="155" t="str">
        <f>IFERROR(INDEX(tbCategorias[Grupo],MATCH(tbLancamentos[[#This Row],[Categoria]],tbCategorias[Categoria],0)),"")</f>
        <v>Essencial</v>
      </c>
      <c r="I32" s="156">
        <f>IF(tbLancamentos[[#This Row],[Data]]="","",DATE(YEAR(tbLancamentos[[#This Row],[Data]]),MONTH(tbLancamentos[[#This Row],[Data]]),1))</f>
        <v>46023</v>
      </c>
    </row>
    <row r="33" spans="2:9" x14ac:dyDescent="0.35">
      <c r="B33" s="154">
        <v>46047</v>
      </c>
      <c r="C33" s="73" t="s">
        <v>68</v>
      </c>
      <c r="D33" s="73" t="s">
        <v>16</v>
      </c>
      <c r="E33" s="23">
        <v>143.47999999999999</v>
      </c>
      <c r="F33" s="73" t="s">
        <v>34</v>
      </c>
      <c r="G33" s="155" t="str">
        <f>IFERROR(INDEX(tbCategorias[Tipo],MATCH(tbLancamentos[[#This Row],[Categoria]],tbCategorias[Categoria],0)),"Categoria?")</f>
        <v>Despesa</v>
      </c>
      <c r="H33" s="155" t="str">
        <f>IFERROR(INDEX(tbCategorias[Grupo],MATCH(tbLancamentos[[#This Row],[Categoria]],tbCategorias[Categoria],0)),"")</f>
        <v>Essencial</v>
      </c>
      <c r="I33" s="156">
        <f>IF(tbLancamentos[[#This Row],[Data]]="","",DATE(YEAR(tbLancamentos[[#This Row],[Data]]),MONTH(tbLancamentos[[#This Row],[Data]]),1))</f>
        <v>46023</v>
      </c>
    </row>
    <row r="34" spans="2:9" x14ac:dyDescent="0.35">
      <c r="B34" s="154">
        <v>46056</v>
      </c>
      <c r="C34" s="73" t="s">
        <v>56</v>
      </c>
      <c r="D34" s="73" t="s">
        <v>16</v>
      </c>
      <c r="E34" s="23">
        <v>219.91</v>
      </c>
      <c r="F34" s="73" t="s">
        <v>34</v>
      </c>
      <c r="G34" s="155" t="str">
        <f>IFERROR(INDEX(tbCategorias[Tipo],MATCH(tbLancamentos[[#This Row],[Categoria]],tbCategorias[Categoria],0)),"Categoria?")</f>
        <v>Despesa</v>
      </c>
      <c r="H34" s="155" t="str">
        <f>IFERROR(INDEX(tbCategorias[Grupo],MATCH(tbLancamentos[[#This Row],[Categoria]],tbCategorias[Categoria],0)),"")</f>
        <v>Essencial</v>
      </c>
      <c r="I34" s="156">
        <f>IF(tbLancamentos[[#This Row],[Data]]="","",DATE(YEAR(tbLancamentos[[#This Row],[Data]]),MONTH(tbLancamentos[[#This Row],[Data]]),1))</f>
        <v>46054</v>
      </c>
    </row>
    <row r="35" spans="2:9" x14ac:dyDescent="0.35">
      <c r="B35" s="154">
        <v>46057</v>
      </c>
      <c r="C35" s="73" t="s">
        <v>48</v>
      </c>
      <c r="D35" s="73" t="s">
        <v>20</v>
      </c>
      <c r="E35" s="23">
        <v>82.43</v>
      </c>
      <c r="F35" s="73" t="s">
        <v>33</v>
      </c>
      <c r="G35" s="155" t="str">
        <f>IFERROR(INDEX(tbCategorias[Tipo],MATCH(tbLancamentos[[#This Row],[Categoria]],tbCategorias[Categoria],0)),"Categoria?")</f>
        <v>Despesa</v>
      </c>
      <c r="H35" s="155" t="str">
        <f>IFERROR(INDEX(tbCategorias[Grupo],MATCH(tbLancamentos[[#This Row],[Categoria]],tbCategorias[Categoria],0)),"")</f>
        <v>Estilo de vida</v>
      </c>
      <c r="I35" s="156">
        <f>IF(tbLancamentos[[#This Row],[Data]]="","",DATE(YEAR(tbLancamentos[[#This Row],[Data]]),MONTH(tbLancamentos[[#This Row],[Data]]),1))</f>
        <v>46054</v>
      </c>
    </row>
    <row r="36" spans="2:9" x14ac:dyDescent="0.35">
      <c r="B36" s="154">
        <v>46058</v>
      </c>
      <c r="C36" s="73" t="s">
        <v>7</v>
      </c>
      <c r="D36" s="73" t="s">
        <v>7</v>
      </c>
      <c r="E36" s="23">
        <v>5800</v>
      </c>
      <c r="F36" s="73" t="s">
        <v>33</v>
      </c>
      <c r="G36" s="155" t="str">
        <f>IFERROR(INDEX(tbCategorias[Tipo],MATCH(tbLancamentos[[#This Row],[Categoria]],tbCategorias[Categoria],0)),"Categoria?")</f>
        <v>Receita</v>
      </c>
      <c r="H36" s="155" t="str">
        <f>IFERROR(INDEX(tbCategorias[Grupo],MATCH(tbLancamentos[[#This Row],[Categoria]],tbCategorias[Categoria],0)),"")</f>
        <v>Renda</v>
      </c>
      <c r="I36" s="156">
        <f>IF(tbLancamentos[[#This Row],[Data]]="","",DATE(YEAR(tbLancamentos[[#This Row],[Data]]),MONTH(tbLancamentos[[#This Row],[Data]]),1))</f>
        <v>46054</v>
      </c>
    </row>
    <row r="37" spans="2:9" x14ac:dyDescent="0.35">
      <c r="B37" s="154">
        <v>46059</v>
      </c>
      <c r="C37" s="73" t="s">
        <v>49</v>
      </c>
      <c r="D37" s="73" t="s">
        <v>17</v>
      </c>
      <c r="E37" s="23">
        <v>109.82</v>
      </c>
      <c r="F37" s="73" t="s">
        <v>34</v>
      </c>
      <c r="G37" s="155" t="str">
        <f>IFERROR(INDEX(tbCategorias[Tipo],MATCH(tbLancamentos[[#This Row],[Categoria]],tbCategorias[Categoria],0)),"Categoria?")</f>
        <v>Despesa</v>
      </c>
      <c r="H37" s="155" t="str">
        <f>IFERROR(INDEX(tbCategorias[Grupo],MATCH(tbLancamentos[[#This Row],[Categoria]],tbCategorias[Categoria],0)),"")</f>
        <v>Essencial</v>
      </c>
      <c r="I37" s="156">
        <f>IF(tbLancamentos[[#This Row],[Data]]="","",DATE(YEAR(tbLancamentos[[#This Row],[Data]]),MONTH(tbLancamentos[[#This Row],[Data]]),1))</f>
        <v>46054</v>
      </c>
    </row>
    <row r="38" spans="2:9" x14ac:dyDescent="0.35">
      <c r="B38" s="154">
        <v>46060</v>
      </c>
      <c r="C38" s="73" t="s">
        <v>50</v>
      </c>
      <c r="D38" s="73" t="s">
        <v>26</v>
      </c>
      <c r="E38" s="23">
        <v>600</v>
      </c>
      <c r="F38" s="73" t="s">
        <v>33</v>
      </c>
      <c r="G38" s="155" t="str">
        <f>IFERROR(INDEX(tbCategorias[Tipo],MATCH(tbLancamentos[[#This Row],[Categoria]],tbCategorias[Categoria],0)),"Categoria?")</f>
        <v>Investimento</v>
      </c>
      <c r="H38" s="155" t="str">
        <f>IFERROR(INDEX(tbCategorias[Grupo],MATCH(tbLancamentos[[#This Row],[Categoria]],tbCategorias[Categoria],0)),"")</f>
        <v>Investimento</v>
      </c>
      <c r="I38" s="156">
        <f>IF(tbLancamentos[[#This Row],[Data]]="","",DATE(YEAR(tbLancamentos[[#This Row],[Data]]),MONTH(tbLancamentos[[#This Row],[Data]]),1))</f>
        <v>46054</v>
      </c>
    </row>
    <row r="39" spans="2:9" x14ac:dyDescent="0.35">
      <c r="B39" s="154">
        <v>46060</v>
      </c>
      <c r="C39" s="73" t="s">
        <v>69</v>
      </c>
      <c r="D39" s="73" t="s">
        <v>25</v>
      </c>
      <c r="E39" s="23">
        <v>48.1</v>
      </c>
      <c r="F39" s="73" t="s">
        <v>33</v>
      </c>
      <c r="G39" s="155" t="str">
        <f>IFERROR(INDEX(tbCategorias[Tipo],MATCH(tbLancamentos[[#This Row],[Categoria]],tbCategorias[Categoria],0)),"Categoria?")</f>
        <v>Despesa</v>
      </c>
      <c r="H39" s="155" t="str">
        <f>IFERROR(INDEX(tbCategorias[Grupo],MATCH(tbLancamentos[[#This Row],[Categoria]],tbCategorias[Categoria],0)),"")</f>
        <v>Estilo de vida</v>
      </c>
      <c r="I39" s="156">
        <f>IF(tbLancamentos[[#This Row],[Data]]="","",DATE(YEAR(tbLancamentos[[#This Row],[Data]]),MONTH(tbLancamentos[[#This Row],[Data]]),1))</f>
        <v>46054</v>
      </c>
    </row>
    <row r="40" spans="2:9" x14ac:dyDescent="0.35">
      <c r="B40" s="154">
        <v>46061</v>
      </c>
      <c r="C40" s="73" t="s">
        <v>70</v>
      </c>
      <c r="D40" s="73" t="s">
        <v>10</v>
      </c>
      <c r="E40" s="23">
        <v>794.18</v>
      </c>
      <c r="F40" s="73" t="s">
        <v>33</v>
      </c>
      <c r="G40" s="155" t="str">
        <f>IFERROR(INDEX(tbCategorias[Tipo],MATCH(tbLancamentos[[#This Row],[Categoria]],tbCategorias[Categoria],0)),"Categoria?")</f>
        <v>Receita</v>
      </c>
      <c r="H40" s="155" t="str">
        <f>IFERROR(INDEX(tbCategorias[Grupo],MATCH(tbLancamentos[[#This Row],[Categoria]],tbCategorias[Categoria],0)),"")</f>
        <v>Renda</v>
      </c>
      <c r="I40" s="156">
        <f>IF(tbLancamentos[[#This Row],[Data]]="","",DATE(YEAR(tbLancamentos[[#This Row],[Data]]),MONTH(tbLancamentos[[#This Row],[Data]]),1))</f>
        <v>46054</v>
      </c>
    </row>
    <row r="41" spans="2:9" x14ac:dyDescent="0.35">
      <c r="B41" s="154">
        <v>46061</v>
      </c>
      <c r="C41" s="73" t="s">
        <v>54</v>
      </c>
      <c r="D41" s="73" t="s">
        <v>18</v>
      </c>
      <c r="E41" s="23">
        <v>59.9</v>
      </c>
      <c r="F41" s="73" t="s">
        <v>36</v>
      </c>
      <c r="G41" s="155" t="str">
        <f>IFERROR(INDEX(tbCategorias[Tipo],MATCH(tbLancamentos[[#This Row],[Categoria]],tbCategorias[Categoria],0)),"Categoria?")</f>
        <v>Despesa</v>
      </c>
      <c r="H41" s="155" t="str">
        <f>IFERROR(INDEX(tbCategorias[Grupo],MATCH(tbLancamentos[[#This Row],[Categoria]],tbCategorias[Categoria],0)),"")</f>
        <v>Essencial</v>
      </c>
      <c r="I41" s="156">
        <f>IF(tbLancamentos[[#This Row],[Data]]="","",DATE(YEAR(tbLancamentos[[#This Row],[Data]]),MONTH(tbLancamentos[[#This Row],[Data]]),1))</f>
        <v>46054</v>
      </c>
    </row>
    <row r="42" spans="2:9" x14ac:dyDescent="0.35">
      <c r="B42" s="154">
        <v>46061</v>
      </c>
      <c r="C42" s="73" t="s">
        <v>51</v>
      </c>
      <c r="D42" s="73" t="s">
        <v>22</v>
      </c>
      <c r="E42" s="23">
        <v>178.58</v>
      </c>
      <c r="F42" s="73" t="s">
        <v>33</v>
      </c>
      <c r="G42" s="155" t="str">
        <f>IFERROR(INDEX(tbCategorias[Tipo],MATCH(tbLancamentos[[#This Row],[Categoria]],tbCategorias[Categoria],0)),"Categoria?")</f>
        <v>Despesa</v>
      </c>
      <c r="H42" s="155" t="str">
        <f>IFERROR(INDEX(tbCategorias[Grupo],MATCH(tbLancamentos[[#This Row],[Categoria]],tbCategorias[Categoria],0)),"")</f>
        <v>Estilo de vida</v>
      </c>
      <c r="I42" s="156">
        <f>IF(tbLancamentos[[#This Row],[Data]]="","",DATE(YEAR(tbLancamentos[[#This Row],[Data]]),MONTH(tbLancamentos[[#This Row],[Data]]),1))</f>
        <v>46054</v>
      </c>
    </row>
    <row r="43" spans="2:9" x14ac:dyDescent="0.35">
      <c r="B43" s="154">
        <v>46061</v>
      </c>
      <c r="C43" s="73" t="s">
        <v>52</v>
      </c>
      <c r="D43" s="73" t="s">
        <v>18</v>
      </c>
      <c r="E43" s="23">
        <v>99.9</v>
      </c>
      <c r="F43" s="73" t="s">
        <v>34</v>
      </c>
      <c r="G43" s="155" t="str">
        <f>IFERROR(INDEX(tbCategorias[Tipo],MATCH(tbLancamentos[[#This Row],[Categoria]],tbCategorias[Categoria],0)),"Categoria?")</f>
        <v>Despesa</v>
      </c>
      <c r="H43" s="155" t="str">
        <f>IFERROR(INDEX(tbCategorias[Grupo],MATCH(tbLancamentos[[#This Row],[Categoria]],tbCategorias[Categoria],0)),"")</f>
        <v>Essencial</v>
      </c>
      <c r="I43" s="156">
        <f>IF(tbLancamentos[[#This Row],[Data]]="","",DATE(YEAR(tbLancamentos[[#This Row],[Data]]),MONTH(tbLancamentos[[#This Row],[Data]]),1))</f>
        <v>46054</v>
      </c>
    </row>
    <row r="44" spans="2:9" x14ac:dyDescent="0.35">
      <c r="B44" s="154">
        <v>46062</v>
      </c>
      <c r="C44" s="73" t="s">
        <v>71</v>
      </c>
      <c r="D44" s="73" t="s">
        <v>24</v>
      </c>
      <c r="E44" s="23">
        <v>69.77</v>
      </c>
      <c r="F44" s="73" t="s">
        <v>34</v>
      </c>
      <c r="G44" s="155" t="str">
        <f>IFERROR(INDEX(tbCategorias[Tipo],MATCH(tbLancamentos[[#This Row],[Categoria]],tbCategorias[Categoria],0)),"Categoria?")</f>
        <v>Despesa</v>
      </c>
      <c r="H44" s="155" t="str">
        <f>IFERROR(INDEX(tbCategorias[Grupo],MATCH(tbLancamentos[[#This Row],[Categoria]],tbCategorias[Categoria],0)),"")</f>
        <v>Estilo de vida</v>
      </c>
      <c r="I44" s="156">
        <f>IF(tbLancamentos[[#This Row],[Data]]="","",DATE(YEAR(tbLancamentos[[#This Row],[Data]]),MONTH(tbLancamentos[[#This Row],[Data]]),1))</f>
        <v>46054</v>
      </c>
    </row>
    <row r="45" spans="2:9" x14ac:dyDescent="0.35">
      <c r="B45" s="154">
        <v>46062</v>
      </c>
      <c r="C45" s="73" t="s">
        <v>53</v>
      </c>
      <c r="D45" s="73" t="s">
        <v>20</v>
      </c>
      <c r="E45" s="23">
        <v>42.94</v>
      </c>
      <c r="F45" s="73" t="s">
        <v>34</v>
      </c>
      <c r="G45" s="155" t="str">
        <f>IFERROR(INDEX(tbCategorias[Tipo],MATCH(tbLancamentos[[#This Row],[Categoria]],tbCategorias[Categoria],0)),"Categoria?")</f>
        <v>Despesa</v>
      </c>
      <c r="H45" s="155" t="str">
        <f>IFERROR(INDEX(tbCategorias[Grupo],MATCH(tbLancamentos[[#This Row],[Categoria]],tbCategorias[Categoria],0)),"")</f>
        <v>Estilo de vida</v>
      </c>
      <c r="I45" s="156">
        <f>IF(tbLancamentos[[#This Row],[Data]]="","",DATE(YEAR(tbLancamentos[[#This Row],[Data]]),MONTH(tbLancamentos[[#This Row],[Data]]),1))</f>
        <v>46054</v>
      </c>
    </row>
    <row r="46" spans="2:9" x14ac:dyDescent="0.35">
      <c r="B46" s="154">
        <v>46063</v>
      </c>
      <c r="C46" s="73" t="s">
        <v>55</v>
      </c>
      <c r="D46" s="73" t="s">
        <v>12</v>
      </c>
      <c r="E46" s="23">
        <v>1200</v>
      </c>
      <c r="F46" s="73" t="s">
        <v>36</v>
      </c>
      <c r="G46" s="155" t="str">
        <f>IFERROR(INDEX(tbCategorias[Tipo],MATCH(tbLancamentos[[#This Row],[Categoria]],tbCategorias[Categoria],0)),"Categoria?")</f>
        <v>Despesa</v>
      </c>
      <c r="H46" s="155" t="str">
        <f>IFERROR(INDEX(tbCategorias[Grupo],MATCH(tbLancamentos[[#This Row],[Categoria]],tbCategorias[Categoria],0)),"")</f>
        <v>Essencial</v>
      </c>
      <c r="I46" s="156">
        <f>IF(tbLancamentos[[#This Row],[Data]]="","",DATE(YEAR(tbLancamentos[[#This Row],[Data]]),MONTH(tbLancamentos[[#This Row],[Data]]),1))</f>
        <v>46054</v>
      </c>
    </row>
    <row r="47" spans="2:9" x14ac:dyDescent="0.35">
      <c r="B47" s="154">
        <v>46064</v>
      </c>
      <c r="C47" s="73" t="s">
        <v>62</v>
      </c>
      <c r="D47" s="73" t="s">
        <v>17</v>
      </c>
      <c r="E47" s="23">
        <v>39.39</v>
      </c>
      <c r="F47" s="73" t="s">
        <v>34</v>
      </c>
      <c r="G47" s="155" t="str">
        <f>IFERROR(INDEX(tbCategorias[Tipo],MATCH(tbLancamentos[[#This Row],[Categoria]],tbCategorias[Categoria],0)),"Categoria?")</f>
        <v>Despesa</v>
      </c>
      <c r="H47" s="155" t="str">
        <f>IFERROR(INDEX(tbCategorias[Grupo],MATCH(tbLancamentos[[#This Row],[Categoria]],tbCategorias[Categoria],0)),"")</f>
        <v>Essencial</v>
      </c>
      <c r="I47" s="156">
        <f>IF(tbLancamentos[[#This Row],[Data]]="","",DATE(YEAR(tbLancamentos[[#This Row],[Data]]),MONTH(tbLancamentos[[#This Row],[Data]]),1))</f>
        <v>46054</v>
      </c>
    </row>
    <row r="48" spans="2:9" x14ac:dyDescent="0.35">
      <c r="B48" s="154">
        <v>46064</v>
      </c>
      <c r="C48" s="73" t="s">
        <v>46</v>
      </c>
      <c r="D48" s="73" t="s">
        <v>16</v>
      </c>
      <c r="E48" s="23">
        <v>110.68</v>
      </c>
      <c r="F48" s="73" t="s">
        <v>34</v>
      </c>
      <c r="G48" s="155" t="str">
        <f>IFERROR(INDEX(tbCategorias[Tipo],MATCH(tbLancamentos[[#This Row],[Categoria]],tbCategorias[Categoria],0)),"Categoria?")</f>
        <v>Despesa</v>
      </c>
      <c r="H48" s="155" t="str">
        <f>IFERROR(INDEX(tbCategorias[Grupo],MATCH(tbLancamentos[[#This Row],[Categoria]],tbCategorias[Categoria],0)),"")</f>
        <v>Essencial</v>
      </c>
      <c r="I48" s="156">
        <f>IF(tbLancamentos[[#This Row],[Data]]="","",DATE(YEAR(tbLancamentos[[#This Row],[Data]]),MONTH(tbLancamentos[[#This Row],[Data]]),1))</f>
        <v>46054</v>
      </c>
    </row>
    <row r="49" spans="2:9" x14ac:dyDescent="0.35">
      <c r="B49" s="154">
        <v>46065</v>
      </c>
      <c r="C49" s="73" t="s">
        <v>72</v>
      </c>
      <c r="D49" s="73" t="s">
        <v>20</v>
      </c>
      <c r="E49" s="23">
        <v>99.4</v>
      </c>
      <c r="F49" s="73" t="s">
        <v>34</v>
      </c>
      <c r="G49" s="155" t="str">
        <f>IFERROR(INDEX(tbCategorias[Tipo],MATCH(tbLancamentos[[#This Row],[Categoria]],tbCategorias[Categoria],0)),"Categoria?")</f>
        <v>Despesa</v>
      </c>
      <c r="H49" s="155" t="str">
        <f>IFERROR(INDEX(tbCategorias[Grupo],MATCH(tbLancamentos[[#This Row],[Categoria]],tbCategorias[Categoria],0)),"")</f>
        <v>Estilo de vida</v>
      </c>
      <c r="I49" s="156">
        <f>IF(tbLancamentos[[#This Row],[Data]]="","",DATE(YEAR(tbLancamentos[[#This Row],[Data]]),MONTH(tbLancamentos[[#This Row],[Data]]),1))</f>
        <v>46054</v>
      </c>
    </row>
    <row r="50" spans="2:9" x14ac:dyDescent="0.35">
      <c r="B50" s="154">
        <v>46065</v>
      </c>
      <c r="C50" s="73" t="s">
        <v>57</v>
      </c>
      <c r="D50" s="73" t="s">
        <v>15</v>
      </c>
      <c r="E50" s="23">
        <v>131.19999999999999</v>
      </c>
      <c r="F50" s="73" t="s">
        <v>36</v>
      </c>
      <c r="G50" s="155" t="str">
        <f>IFERROR(INDEX(tbCategorias[Tipo],MATCH(tbLancamentos[[#This Row],[Categoria]],tbCategorias[Categoria],0)),"Categoria?")</f>
        <v>Despesa</v>
      </c>
      <c r="H50" s="155" t="str">
        <f>IFERROR(INDEX(tbCategorias[Grupo],MATCH(tbLancamentos[[#This Row],[Categoria]],tbCategorias[Categoria],0)),"")</f>
        <v>Essencial</v>
      </c>
      <c r="I50" s="156">
        <f>IF(tbLancamentos[[#This Row],[Data]]="","",DATE(YEAR(tbLancamentos[[#This Row],[Data]]),MONTH(tbLancamentos[[#This Row],[Data]]),1))</f>
        <v>46054</v>
      </c>
    </row>
    <row r="51" spans="2:9" x14ac:dyDescent="0.35">
      <c r="B51" s="154">
        <v>46067</v>
      </c>
      <c r="C51" s="73" t="s">
        <v>59</v>
      </c>
      <c r="D51" s="73" t="s">
        <v>23</v>
      </c>
      <c r="E51" s="23">
        <v>44.9</v>
      </c>
      <c r="F51" s="73" t="s">
        <v>34</v>
      </c>
      <c r="G51" s="155" t="str">
        <f>IFERROR(INDEX(tbCategorias[Tipo],MATCH(tbLancamentos[[#This Row],[Categoria]],tbCategorias[Categoria],0)),"Categoria?")</f>
        <v>Despesa</v>
      </c>
      <c r="H51" s="155" t="str">
        <f>IFERROR(INDEX(tbCategorias[Grupo],MATCH(tbLancamentos[[#This Row],[Categoria]],tbCategorias[Categoria],0)),"")</f>
        <v>Estilo de vida</v>
      </c>
      <c r="I51" s="156">
        <f>IF(tbLancamentos[[#This Row],[Data]]="","",DATE(YEAR(tbLancamentos[[#This Row],[Data]]),MONTH(tbLancamentos[[#This Row],[Data]]),1))</f>
        <v>46054</v>
      </c>
    </row>
    <row r="52" spans="2:9" x14ac:dyDescent="0.35">
      <c r="B52" s="154">
        <v>46067</v>
      </c>
      <c r="C52" s="73" t="s">
        <v>62</v>
      </c>
      <c r="D52" s="73" t="s">
        <v>17</v>
      </c>
      <c r="E52" s="23">
        <v>28.82</v>
      </c>
      <c r="F52" s="73" t="s">
        <v>34</v>
      </c>
      <c r="G52" s="155" t="str">
        <f>IFERROR(INDEX(tbCategorias[Tipo],MATCH(tbLancamentos[[#This Row],[Categoria]],tbCategorias[Categoria],0)),"Categoria?")</f>
        <v>Despesa</v>
      </c>
      <c r="H52" s="155" t="str">
        <f>IFERROR(INDEX(tbCategorias[Grupo],MATCH(tbLancamentos[[#This Row],[Categoria]],tbCategorias[Categoria],0)),"")</f>
        <v>Essencial</v>
      </c>
      <c r="I52" s="156">
        <f>IF(tbLancamentos[[#This Row],[Data]]="","",DATE(YEAR(tbLancamentos[[#This Row],[Data]]),MONTH(tbLancamentos[[#This Row],[Data]]),1))</f>
        <v>46054</v>
      </c>
    </row>
    <row r="53" spans="2:9" x14ac:dyDescent="0.35">
      <c r="B53" s="154">
        <v>46067</v>
      </c>
      <c r="C53" s="73" t="s">
        <v>60</v>
      </c>
      <c r="D53" s="73" t="s">
        <v>23</v>
      </c>
      <c r="E53" s="23">
        <v>21.9</v>
      </c>
      <c r="F53" s="73" t="s">
        <v>34</v>
      </c>
      <c r="G53" s="155" t="str">
        <f>IFERROR(INDEX(tbCategorias[Tipo],MATCH(tbLancamentos[[#This Row],[Categoria]],tbCategorias[Categoria],0)),"Categoria?")</f>
        <v>Despesa</v>
      </c>
      <c r="H53" s="155" t="str">
        <f>IFERROR(INDEX(tbCategorias[Grupo],MATCH(tbLancamentos[[#This Row],[Categoria]],tbCategorias[Categoria],0)),"")</f>
        <v>Estilo de vida</v>
      </c>
      <c r="I53" s="156">
        <f>IF(tbLancamentos[[#This Row],[Data]]="","",DATE(YEAR(tbLancamentos[[#This Row],[Data]]),MONTH(tbLancamentos[[#This Row],[Data]]),1))</f>
        <v>46054</v>
      </c>
    </row>
    <row r="54" spans="2:9" x14ac:dyDescent="0.35">
      <c r="B54" s="154">
        <v>46068</v>
      </c>
      <c r="C54" s="73" t="s">
        <v>63</v>
      </c>
      <c r="D54" s="73" t="s">
        <v>15</v>
      </c>
      <c r="E54" s="23">
        <v>88.93</v>
      </c>
      <c r="F54" s="73" t="s">
        <v>36</v>
      </c>
      <c r="G54" s="155" t="str">
        <f>IFERROR(INDEX(tbCategorias[Tipo],MATCH(tbLancamentos[[#This Row],[Categoria]],tbCategorias[Categoria],0)),"Categoria?")</f>
        <v>Despesa</v>
      </c>
      <c r="H54" s="155" t="str">
        <f>IFERROR(INDEX(tbCategorias[Grupo],MATCH(tbLancamentos[[#This Row],[Categoria]],tbCategorias[Categoria],0)),"")</f>
        <v>Essencial</v>
      </c>
      <c r="I54" s="156">
        <f>IF(tbLancamentos[[#This Row],[Data]]="","",DATE(YEAR(tbLancamentos[[#This Row],[Data]]),MONTH(tbLancamentos[[#This Row],[Data]]),1))</f>
        <v>46054</v>
      </c>
    </row>
    <row r="55" spans="2:9" x14ac:dyDescent="0.35">
      <c r="B55" s="154">
        <v>46071</v>
      </c>
      <c r="C55" s="73" t="s">
        <v>73</v>
      </c>
      <c r="D55" s="73" t="s">
        <v>11</v>
      </c>
      <c r="E55" s="23">
        <v>160.66</v>
      </c>
      <c r="F55" s="73" t="s">
        <v>33</v>
      </c>
      <c r="G55" s="155" t="str">
        <f>IFERROR(INDEX(tbCategorias[Tipo],MATCH(tbLancamentos[[#This Row],[Categoria]],tbCategorias[Categoria],0)),"Categoria?")</f>
        <v>Receita</v>
      </c>
      <c r="H55" s="155" t="str">
        <f>IFERROR(INDEX(tbCategorias[Grupo],MATCH(tbLancamentos[[#This Row],[Categoria]],tbCategorias[Categoria],0)),"")</f>
        <v>Renda</v>
      </c>
      <c r="I55" s="156">
        <f>IF(tbLancamentos[[#This Row],[Data]]="","",DATE(YEAR(tbLancamentos[[#This Row],[Data]]),MONTH(tbLancamentos[[#This Row],[Data]]),1))</f>
        <v>46054</v>
      </c>
    </row>
    <row r="56" spans="2:9" x14ac:dyDescent="0.35">
      <c r="B56" s="154">
        <v>46071</v>
      </c>
      <c r="C56" s="73" t="s">
        <v>46</v>
      </c>
      <c r="D56" s="73" t="s">
        <v>16</v>
      </c>
      <c r="E56" s="23">
        <v>310.97000000000003</v>
      </c>
      <c r="F56" s="73" t="s">
        <v>33</v>
      </c>
      <c r="G56" s="155" t="str">
        <f>IFERROR(INDEX(tbCategorias[Tipo],MATCH(tbLancamentos[[#This Row],[Categoria]],tbCategorias[Categoria],0)),"Categoria?")</f>
        <v>Despesa</v>
      </c>
      <c r="H56" s="155" t="str">
        <f>IFERROR(INDEX(tbCategorias[Grupo],MATCH(tbLancamentos[[#This Row],[Categoria]],tbCategorias[Categoria],0)),"")</f>
        <v>Essencial</v>
      </c>
      <c r="I56" s="156">
        <f>IF(tbLancamentos[[#This Row],[Data]]="","",DATE(YEAR(tbLancamentos[[#This Row],[Data]]),MONTH(tbLancamentos[[#This Row],[Data]]),1))</f>
        <v>46054</v>
      </c>
    </row>
    <row r="57" spans="2:9" x14ac:dyDescent="0.35">
      <c r="B57" s="154">
        <v>46071</v>
      </c>
      <c r="C57" s="73" t="s">
        <v>65</v>
      </c>
      <c r="D57" s="73" t="s">
        <v>15</v>
      </c>
      <c r="E57" s="23">
        <v>99.9</v>
      </c>
      <c r="F57" s="73" t="s">
        <v>35</v>
      </c>
      <c r="G57" s="155" t="str">
        <f>IFERROR(INDEX(tbCategorias[Tipo],MATCH(tbLancamentos[[#This Row],[Categoria]],tbCategorias[Categoria],0)),"Categoria?")</f>
        <v>Despesa</v>
      </c>
      <c r="H57" s="155" t="str">
        <f>IFERROR(INDEX(tbCategorias[Grupo],MATCH(tbLancamentos[[#This Row],[Categoria]],tbCategorias[Categoria],0)),"")</f>
        <v>Essencial</v>
      </c>
      <c r="I57" s="156">
        <f>IF(tbLancamentos[[#This Row],[Data]]="","",DATE(YEAR(tbLancamentos[[#This Row],[Data]]),MONTH(tbLancamentos[[#This Row],[Data]]),1))</f>
        <v>46054</v>
      </c>
    </row>
    <row r="58" spans="2:9" x14ac:dyDescent="0.35">
      <c r="B58" s="154">
        <v>46072</v>
      </c>
      <c r="C58" s="73" t="s">
        <v>48</v>
      </c>
      <c r="D58" s="73" t="s">
        <v>20</v>
      </c>
      <c r="E58" s="23">
        <v>109.11</v>
      </c>
      <c r="F58" s="73" t="s">
        <v>33</v>
      </c>
      <c r="G58" s="155" t="str">
        <f>IFERROR(INDEX(tbCategorias[Tipo],MATCH(tbLancamentos[[#This Row],[Categoria]],tbCategorias[Categoria],0)),"Categoria?")</f>
        <v>Despesa</v>
      </c>
      <c r="H58" s="155" t="str">
        <f>IFERROR(INDEX(tbCategorias[Grupo],MATCH(tbLancamentos[[#This Row],[Categoria]],tbCategorias[Categoria],0)),"")</f>
        <v>Estilo de vida</v>
      </c>
      <c r="I58" s="156">
        <f>IF(tbLancamentos[[#This Row],[Data]]="","",DATE(YEAR(tbLancamentos[[#This Row],[Data]]),MONTH(tbLancamentos[[#This Row],[Data]]),1))</f>
        <v>46054</v>
      </c>
    </row>
    <row r="59" spans="2:9" x14ac:dyDescent="0.35">
      <c r="B59" s="154">
        <v>46072</v>
      </c>
      <c r="C59" s="73" t="s">
        <v>49</v>
      </c>
      <c r="D59" s="73" t="s">
        <v>17</v>
      </c>
      <c r="E59" s="23">
        <v>91.35</v>
      </c>
      <c r="F59" s="73" t="s">
        <v>34</v>
      </c>
      <c r="G59" s="155" t="str">
        <f>IFERROR(INDEX(tbCategorias[Tipo],MATCH(tbLancamentos[[#This Row],[Categoria]],tbCategorias[Categoria],0)),"Categoria?")</f>
        <v>Despesa</v>
      </c>
      <c r="H59" s="155" t="str">
        <f>IFERROR(INDEX(tbCategorias[Grupo],MATCH(tbLancamentos[[#This Row],[Categoria]],tbCategorias[Categoria],0)),"")</f>
        <v>Essencial</v>
      </c>
      <c r="I59" s="156">
        <f>IF(tbLancamentos[[#This Row],[Data]]="","",DATE(YEAR(tbLancamentos[[#This Row],[Data]]),MONTH(tbLancamentos[[#This Row],[Data]]),1))</f>
        <v>46054</v>
      </c>
    </row>
    <row r="60" spans="2:9" x14ac:dyDescent="0.35">
      <c r="B60" s="154">
        <v>46073</v>
      </c>
      <c r="C60" s="73" t="s">
        <v>66</v>
      </c>
      <c r="D60" s="73" t="s">
        <v>19</v>
      </c>
      <c r="E60" s="23">
        <v>79.900000000000006</v>
      </c>
      <c r="F60" s="73" t="s">
        <v>34</v>
      </c>
      <c r="G60" s="155" t="str">
        <f>IFERROR(INDEX(tbCategorias[Tipo],MATCH(tbLancamentos[[#This Row],[Categoria]],tbCategorias[Categoria],0)),"Categoria?")</f>
        <v>Despesa</v>
      </c>
      <c r="H60" s="155" t="str">
        <f>IFERROR(INDEX(tbCategorias[Grupo],MATCH(tbLancamentos[[#This Row],[Categoria]],tbCategorias[Categoria],0)),"")</f>
        <v>Essencial</v>
      </c>
      <c r="I60" s="156">
        <f>IF(tbLancamentos[[#This Row],[Data]]="","",DATE(YEAR(tbLancamentos[[#This Row],[Data]]),MONTH(tbLancamentos[[#This Row],[Data]]),1))</f>
        <v>46054</v>
      </c>
    </row>
    <row r="61" spans="2:9" x14ac:dyDescent="0.35">
      <c r="B61" s="154">
        <v>46073</v>
      </c>
      <c r="C61" s="73" t="s">
        <v>67</v>
      </c>
      <c r="D61" s="73" t="s">
        <v>15</v>
      </c>
      <c r="E61" s="23">
        <v>49.9</v>
      </c>
      <c r="F61" s="73" t="s">
        <v>34</v>
      </c>
      <c r="G61" s="155" t="str">
        <f>IFERROR(INDEX(tbCategorias[Tipo],MATCH(tbLancamentos[[#This Row],[Categoria]],tbCategorias[Categoria],0)),"Categoria?")</f>
        <v>Despesa</v>
      </c>
      <c r="H61" s="155" t="str">
        <f>IFERROR(INDEX(tbCategorias[Grupo],MATCH(tbLancamentos[[#This Row],[Categoria]],tbCategorias[Categoria],0)),"")</f>
        <v>Essencial</v>
      </c>
      <c r="I61" s="156">
        <f>IF(tbLancamentos[[#This Row],[Data]]="","",DATE(YEAR(tbLancamentos[[#This Row],[Data]]),MONTH(tbLancamentos[[#This Row],[Data]]),1))</f>
        <v>46054</v>
      </c>
    </row>
    <row r="62" spans="2:9" x14ac:dyDescent="0.35">
      <c r="B62" s="154">
        <v>46076</v>
      </c>
      <c r="C62" s="73" t="s">
        <v>74</v>
      </c>
      <c r="D62" s="73" t="s">
        <v>18</v>
      </c>
      <c r="E62" s="23">
        <v>92.47</v>
      </c>
      <c r="F62" s="73" t="s">
        <v>35</v>
      </c>
      <c r="G62" s="155" t="str">
        <f>IFERROR(INDEX(tbCategorias[Tipo],MATCH(tbLancamentos[[#This Row],[Categoria]],tbCategorias[Categoria],0)),"Categoria?")</f>
        <v>Despesa</v>
      </c>
      <c r="H62" s="155" t="str">
        <f>IFERROR(INDEX(tbCategorias[Grupo],MATCH(tbLancamentos[[#This Row],[Categoria]],tbCategorias[Categoria],0)),"")</f>
        <v>Essencial</v>
      </c>
      <c r="I62" s="156">
        <f>IF(tbLancamentos[[#This Row],[Data]]="","",DATE(YEAR(tbLancamentos[[#This Row],[Data]]),MONTH(tbLancamentos[[#This Row],[Data]]),1))</f>
        <v>46054</v>
      </c>
    </row>
    <row r="63" spans="2:9" x14ac:dyDescent="0.35">
      <c r="B63" s="154">
        <v>46077</v>
      </c>
      <c r="C63" s="73" t="s">
        <v>68</v>
      </c>
      <c r="D63" s="73" t="s">
        <v>16</v>
      </c>
      <c r="E63" s="23">
        <v>245.65</v>
      </c>
      <c r="F63" s="73" t="s">
        <v>34</v>
      </c>
      <c r="G63" s="155" t="str">
        <f>IFERROR(INDEX(tbCategorias[Tipo],MATCH(tbLancamentos[[#This Row],[Categoria]],tbCategorias[Categoria],0)),"Categoria?")</f>
        <v>Despesa</v>
      </c>
      <c r="H63" s="155" t="str">
        <f>IFERROR(INDEX(tbCategorias[Grupo],MATCH(tbLancamentos[[#This Row],[Categoria]],tbCategorias[Categoria],0)),"")</f>
        <v>Essencial</v>
      </c>
      <c r="I63" s="156">
        <f>IF(tbLancamentos[[#This Row],[Data]]="","",DATE(YEAR(tbLancamentos[[#This Row],[Data]]),MONTH(tbLancamentos[[#This Row],[Data]]),1))</f>
        <v>46054</v>
      </c>
    </row>
    <row r="64" spans="2:9" x14ac:dyDescent="0.35">
      <c r="B64" s="154">
        <v>46078</v>
      </c>
      <c r="C64" s="73" t="s">
        <v>75</v>
      </c>
      <c r="D64" s="73" t="s">
        <v>22</v>
      </c>
      <c r="E64" s="23">
        <v>134.09</v>
      </c>
      <c r="F64" s="73" t="s">
        <v>37</v>
      </c>
      <c r="G64" s="155" t="str">
        <f>IFERROR(INDEX(tbCategorias[Tipo],MATCH(tbLancamentos[[#This Row],[Categoria]],tbCategorias[Categoria],0)),"Categoria?")</f>
        <v>Despesa</v>
      </c>
      <c r="H64" s="155" t="str">
        <f>IFERROR(INDEX(tbCategorias[Grupo],MATCH(tbLancamentos[[#This Row],[Categoria]],tbCategorias[Categoria],0)),"")</f>
        <v>Estilo de vida</v>
      </c>
      <c r="I64" s="156">
        <f>IF(tbLancamentos[[#This Row],[Data]]="","",DATE(YEAR(tbLancamentos[[#This Row],[Data]]),MONTH(tbLancamentos[[#This Row],[Data]]),1))</f>
        <v>46054</v>
      </c>
    </row>
    <row r="65" spans="2:9" x14ac:dyDescent="0.35">
      <c r="B65" s="154">
        <v>46084</v>
      </c>
      <c r="C65" s="73" t="s">
        <v>76</v>
      </c>
      <c r="D65" s="73" t="s">
        <v>16</v>
      </c>
      <c r="E65" s="23">
        <v>307.10000000000002</v>
      </c>
      <c r="F65" s="73" t="s">
        <v>34</v>
      </c>
      <c r="G65" s="155" t="str">
        <f>IFERROR(INDEX(tbCategorias[Tipo],MATCH(tbLancamentos[[#This Row],[Categoria]],tbCategorias[Categoria],0)),"Categoria?")</f>
        <v>Despesa</v>
      </c>
      <c r="H65" s="155" t="str">
        <f>IFERROR(INDEX(tbCategorias[Grupo],MATCH(tbLancamentos[[#This Row],[Categoria]],tbCategorias[Categoria],0)),"")</f>
        <v>Essencial</v>
      </c>
      <c r="I65" s="156">
        <f>IF(tbLancamentos[[#This Row],[Data]]="","",DATE(YEAR(tbLancamentos[[#This Row],[Data]]),MONTH(tbLancamentos[[#This Row],[Data]]),1))</f>
        <v>46082</v>
      </c>
    </row>
    <row r="66" spans="2:9" x14ac:dyDescent="0.35">
      <c r="B66" s="154">
        <v>46084</v>
      </c>
      <c r="C66" s="73" t="s">
        <v>48</v>
      </c>
      <c r="D66" s="73" t="s">
        <v>20</v>
      </c>
      <c r="E66" s="23">
        <v>44.73</v>
      </c>
      <c r="F66" s="73" t="s">
        <v>33</v>
      </c>
      <c r="G66" s="155" t="str">
        <f>IFERROR(INDEX(tbCategorias[Tipo],MATCH(tbLancamentos[[#This Row],[Categoria]],tbCategorias[Categoria],0)),"Categoria?")</f>
        <v>Despesa</v>
      </c>
      <c r="H66" s="155" t="str">
        <f>IFERROR(INDEX(tbCategorias[Grupo],MATCH(tbLancamentos[[#This Row],[Categoria]],tbCategorias[Categoria],0)),"")</f>
        <v>Estilo de vida</v>
      </c>
      <c r="I66" s="156">
        <f>IF(tbLancamentos[[#This Row],[Data]]="","",DATE(YEAR(tbLancamentos[[#This Row],[Data]]),MONTH(tbLancamentos[[#This Row],[Data]]),1))</f>
        <v>46082</v>
      </c>
    </row>
    <row r="67" spans="2:9" x14ac:dyDescent="0.35">
      <c r="B67" s="154">
        <v>46085</v>
      </c>
      <c r="C67" s="73" t="s">
        <v>75</v>
      </c>
      <c r="D67" s="73" t="s">
        <v>22</v>
      </c>
      <c r="E67" s="23">
        <v>174.95</v>
      </c>
      <c r="F67" s="73" t="s">
        <v>37</v>
      </c>
      <c r="G67" s="155" t="str">
        <f>IFERROR(INDEX(tbCategorias[Tipo],MATCH(tbLancamentos[[#This Row],[Categoria]],tbCategorias[Categoria],0)),"Categoria?")</f>
        <v>Despesa</v>
      </c>
      <c r="H67" s="155" t="str">
        <f>IFERROR(INDEX(tbCategorias[Grupo],MATCH(tbLancamentos[[#This Row],[Categoria]],tbCategorias[Categoria],0)),"")</f>
        <v>Estilo de vida</v>
      </c>
      <c r="I67" s="156">
        <f>IF(tbLancamentos[[#This Row],[Data]]="","",DATE(YEAR(tbLancamentos[[#This Row],[Data]]),MONTH(tbLancamentos[[#This Row],[Data]]),1))</f>
        <v>46082</v>
      </c>
    </row>
    <row r="68" spans="2:9" x14ac:dyDescent="0.35">
      <c r="B68" s="154">
        <v>46085</v>
      </c>
      <c r="C68" s="73" t="s">
        <v>62</v>
      </c>
      <c r="D68" s="73" t="s">
        <v>17</v>
      </c>
      <c r="E68" s="23">
        <v>41.85</v>
      </c>
      <c r="F68" s="73" t="s">
        <v>34</v>
      </c>
      <c r="G68" s="155" t="str">
        <f>IFERROR(INDEX(tbCategorias[Tipo],MATCH(tbLancamentos[[#This Row],[Categoria]],tbCategorias[Categoria],0)),"Categoria?")</f>
        <v>Despesa</v>
      </c>
      <c r="H68" s="155" t="str">
        <f>IFERROR(INDEX(tbCategorias[Grupo],MATCH(tbLancamentos[[#This Row],[Categoria]],tbCategorias[Categoria],0)),"")</f>
        <v>Essencial</v>
      </c>
      <c r="I68" s="156">
        <f>IF(tbLancamentos[[#This Row],[Data]]="","",DATE(YEAR(tbLancamentos[[#This Row],[Data]]),MONTH(tbLancamentos[[#This Row],[Data]]),1))</f>
        <v>46082</v>
      </c>
    </row>
    <row r="69" spans="2:9" x14ac:dyDescent="0.35">
      <c r="B69" s="154">
        <v>46085</v>
      </c>
      <c r="C69" s="73" t="s">
        <v>53</v>
      </c>
      <c r="D69" s="73" t="s">
        <v>20</v>
      </c>
      <c r="E69" s="23">
        <v>64.010000000000005</v>
      </c>
      <c r="F69" s="73" t="s">
        <v>33</v>
      </c>
      <c r="G69" s="155" t="str">
        <f>IFERROR(INDEX(tbCategorias[Tipo],MATCH(tbLancamentos[[#This Row],[Categoria]],tbCategorias[Categoria],0)),"Categoria?")</f>
        <v>Despesa</v>
      </c>
      <c r="H69" s="155" t="str">
        <f>IFERROR(INDEX(tbCategorias[Grupo],MATCH(tbLancamentos[[#This Row],[Categoria]],tbCategorias[Categoria],0)),"")</f>
        <v>Estilo de vida</v>
      </c>
      <c r="I69" s="156">
        <f>IF(tbLancamentos[[#This Row],[Data]]="","",DATE(YEAR(tbLancamentos[[#This Row],[Data]]),MONTH(tbLancamentos[[#This Row],[Data]]),1))</f>
        <v>46082</v>
      </c>
    </row>
    <row r="70" spans="2:9" x14ac:dyDescent="0.35">
      <c r="B70" s="154">
        <v>46086</v>
      </c>
      <c r="C70" s="73" t="s">
        <v>62</v>
      </c>
      <c r="D70" s="73" t="s">
        <v>17</v>
      </c>
      <c r="E70" s="23">
        <v>25.96</v>
      </c>
      <c r="F70" s="73" t="s">
        <v>34</v>
      </c>
      <c r="G70" s="155" t="str">
        <f>IFERROR(INDEX(tbCategorias[Tipo],MATCH(tbLancamentos[[#This Row],[Categoria]],tbCategorias[Categoria],0)),"Categoria?")</f>
        <v>Despesa</v>
      </c>
      <c r="H70" s="155" t="str">
        <f>IFERROR(INDEX(tbCategorias[Grupo],MATCH(tbLancamentos[[#This Row],[Categoria]],tbCategorias[Categoria],0)),"")</f>
        <v>Essencial</v>
      </c>
      <c r="I70" s="156">
        <f>IF(tbLancamentos[[#This Row],[Data]]="","",DATE(YEAR(tbLancamentos[[#This Row],[Data]]),MONTH(tbLancamentos[[#This Row],[Data]]),1))</f>
        <v>46082</v>
      </c>
    </row>
    <row r="71" spans="2:9" x14ac:dyDescent="0.35">
      <c r="B71" s="154">
        <v>46086</v>
      </c>
      <c r="C71" s="73" t="s">
        <v>7</v>
      </c>
      <c r="D71" s="73" t="s">
        <v>7</v>
      </c>
      <c r="E71" s="23">
        <v>5800</v>
      </c>
      <c r="F71" s="73" t="s">
        <v>33</v>
      </c>
      <c r="G71" s="155" t="str">
        <f>IFERROR(INDEX(tbCategorias[Tipo],MATCH(tbLancamentos[[#This Row],[Categoria]],tbCategorias[Categoria],0)),"Categoria?")</f>
        <v>Receita</v>
      </c>
      <c r="H71" s="155" t="str">
        <f>IFERROR(INDEX(tbCategorias[Grupo],MATCH(tbLancamentos[[#This Row],[Categoria]],tbCategorias[Categoria],0)),"")</f>
        <v>Renda</v>
      </c>
      <c r="I71" s="156">
        <f>IF(tbLancamentos[[#This Row],[Data]]="","",DATE(YEAR(tbLancamentos[[#This Row],[Data]]),MONTH(tbLancamentos[[#This Row],[Data]]),1))</f>
        <v>46082</v>
      </c>
    </row>
    <row r="72" spans="2:9" x14ac:dyDescent="0.35">
      <c r="B72" s="154">
        <v>46087</v>
      </c>
      <c r="C72" s="73" t="s">
        <v>49</v>
      </c>
      <c r="D72" s="73" t="s">
        <v>17</v>
      </c>
      <c r="E72" s="23">
        <v>158.99</v>
      </c>
      <c r="F72" s="73" t="s">
        <v>34</v>
      </c>
      <c r="G72" s="155" t="str">
        <f>IFERROR(INDEX(tbCategorias[Tipo],MATCH(tbLancamentos[[#This Row],[Categoria]],tbCategorias[Categoria],0)),"Categoria?")</f>
        <v>Despesa</v>
      </c>
      <c r="H72" s="155" t="str">
        <f>IFERROR(INDEX(tbCategorias[Grupo],MATCH(tbLancamentos[[#This Row],[Categoria]],tbCategorias[Categoria],0)),"")</f>
        <v>Essencial</v>
      </c>
      <c r="I72" s="156">
        <f>IF(tbLancamentos[[#This Row],[Data]]="","",DATE(YEAR(tbLancamentos[[#This Row],[Data]]),MONTH(tbLancamentos[[#This Row],[Data]]),1))</f>
        <v>46082</v>
      </c>
    </row>
    <row r="73" spans="2:9" x14ac:dyDescent="0.35">
      <c r="B73" s="154">
        <v>46088</v>
      </c>
      <c r="C73" s="73" t="s">
        <v>50</v>
      </c>
      <c r="D73" s="73" t="s">
        <v>26</v>
      </c>
      <c r="E73" s="23">
        <v>600</v>
      </c>
      <c r="F73" s="73" t="s">
        <v>33</v>
      </c>
      <c r="G73" s="155" t="str">
        <f>IFERROR(INDEX(tbCategorias[Tipo],MATCH(tbLancamentos[[#This Row],[Categoria]],tbCategorias[Categoria],0)),"Categoria?")</f>
        <v>Investimento</v>
      </c>
      <c r="H73" s="155" t="str">
        <f>IFERROR(INDEX(tbCategorias[Grupo],MATCH(tbLancamentos[[#This Row],[Categoria]],tbCategorias[Categoria],0)),"")</f>
        <v>Investimento</v>
      </c>
      <c r="I73" s="156">
        <f>IF(tbLancamentos[[#This Row],[Data]]="","",DATE(YEAR(tbLancamentos[[#This Row],[Data]]),MONTH(tbLancamentos[[#This Row],[Data]]),1))</f>
        <v>46082</v>
      </c>
    </row>
    <row r="74" spans="2:9" x14ac:dyDescent="0.35">
      <c r="B74" s="154">
        <v>46089</v>
      </c>
      <c r="C74" s="73" t="s">
        <v>52</v>
      </c>
      <c r="D74" s="73" t="s">
        <v>18</v>
      </c>
      <c r="E74" s="23">
        <v>99.9</v>
      </c>
      <c r="F74" s="73" t="s">
        <v>34</v>
      </c>
      <c r="G74" s="155" t="str">
        <f>IFERROR(INDEX(tbCategorias[Tipo],MATCH(tbLancamentos[[#This Row],[Categoria]],tbCategorias[Categoria],0)),"Categoria?")</f>
        <v>Despesa</v>
      </c>
      <c r="H74" s="155" t="str">
        <f>IFERROR(INDEX(tbCategorias[Grupo],MATCH(tbLancamentos[[#This Row],[Categoria]],tbCategorias[Categoria],0)),"")</f>
        <v>Essencial</v>
      </c>
      <c r="I74" s="156">
        <f>IF(tbLancamentos[[#This Row],[Data]]="","",DATE(YEAR(tbLancamentos[[#This Row],[Data]]),MONTH(tbLancamentos[[#This Row],[Data]]),1))</f>
        <v>46082</v>
      </c>
    </row>
    <row r="75" spans="2:9" x14ac:dyDescent="0.35">
      <c r="B75" s="154">
        <v>46089</v>
      </c>
      <c r="C75" s="73" t="s">
        <v>54</v>
      </c>
      <c r="D75" s="73" t="s">
        <v>18</v>
      </c>
      <c r="E75" s="23">
        <v>59.9</v>
      </c>
      <c r="F75" s="73" t="s">
        <v>36</v>
      </c>
      <c r="G75" s="155" t="str">
        <f>IFERROR(INDEX(tbCategorias[Tipo],MATCH(tbLancamentos[[#This Row],[Categoria]],tbCategorias[Categoria],0)),"Categoria?")</f>
        <v>Despesa</v>
      </c>
      <c r="H75" s="155" t="str">
        <f>IFERROR(INDEX(tbCategorias[Grupo],MATCH(tbLancamentos[[#This Row],[Categoria]],tbCategorias[Categoria],0)),"")</f>
        <v>Essencial</v>
      </c>
      <c r="I75" s="156">
        <f>IF(tbLancamentos[[#This Row],[Data]]="","",DATE(YEAR(tbLancamentos[[#This Row],[Data]]),MONTH(tbLancamentos[[#This Row],[Data]]),1))</f>
        <v>46082</v>
      </c>
    </row>
    <row r="76" spans="2:9" x14ac:dyDescent="0.35">
      <c r="B76" s="154">
        <v>46090</v>
      </c>
      <c r="C76" s="73" t="s">
        <v>77</v>
      </c>
      <c r="D76" s="73" t="s">
        <v>24</v>
      </c>
      <c r="E76" s="23">
        <v>281.74</v>
      </c>
      <c r="F76" s="73" t="s">
        <v>34</v>
      </c>
      <c r="G76" s="155" t="str">
        <f>IFERROR(INDEX(tbCategorias[Tipo],MATCH(tbLancamentos[[#This Row],[Categoria]],tbCategorias[Categoria],0)),"Categoria?")</f>
        <v>Despesa</v>
      </c>
      <c r="H76" s="155" t="str">
        <f>IFERROR(INDEX(tbCategorias[Grupo],MATCH(tbLancamentos[[#This Row],[Categoria]],tbCategorias[Categoria],0)),"")</f>
        <v>Estilo de vida</v>
      </c>
      <c r="I76" s="156">
        <f>IF(tbLancamentos[[#This Row],[Data]]="","",DATE(YEAR(tbLancamentos[[#This Row],[Data]]),MONTH(tbLancamentos[[#This Row],[Data]]),1))</f>
        <v>46082</v>
      </c>
    </row>
    <row r="77" spans="2:9" x14ac:dyDescent="0.35">
      <c r="B77" s="154">
        <v>46090</v>
      </c>
      <c r="C77" s="73" t="s">
        <v>78</v>
      </c>
      <c r="D77" s="73" t="s">
        <v>10</v>
      </c>
      <c r="E77" s="23">
        <v>633.53</v>
      </c>
      <c r="F77" s="73" t="s">
        <v>33</v>
      </c>
      <c r="G77" s="155" t="str">
        <f>IFERROR(INDEX(tbCategorias[Tipo],MATCH(tbLancamentos[[#This Row],[Categoria]],tbCategorias[Categoria],0)),"Categoria?")</f>
        <v>Receita</v>
      </c>
      <c r="H77" s="155" t="str">
        <f>IFERROR(INDEX(tbCategorias[Grupo],MATCH(tbLancamentos[[#This Row],[Categoria]],tbCategorias[Categoria],0)),"")</f>
        <v>Renda</v>
      </c>
      <c r="I77" s="156">
        <f>IF(tbLancamentos[[#This Row],[Data]]="","",DATE(YEAR(tbLancamentos[[#This Row],[Data]]),MONTH(tbLancamentos[[#This Row],[Data]]),1))</f>
        <v>46082</v>
      </c>
    </row>
    <row r="78" spans="2:9" x14ac:dyDescent="0.35">
      <c r="B78" s="154">
        <v>46090</v>
      </c>
      <c r="C78" s="73" t="s">
        <v>73</v>
      </c>
      <c r="D78" s="73" t="s">
        <v>11</v>
      </c>
      <c r="E78" s="23">
        <v>235.3</v>
      </c>
      <c r="F78" s="73" t="s">
        <v>33</v>
      </c>
      <c r="G78" s="155" t="str">
        <f>IFERROR(INDEX(tbCategorias[Tipo],MATCH(tbLancamentos[[#This Row],[Categoria]],tbCategorias[Categoria],0)),"Categoria?")</f>
        <v>Receita</v>
      </c>
      <c r="H78" s="155" t="str">
        <f>IFERROR(INDEX(tbCategorias[Grupo],MATCH(tbLancamentos[[#This Row],[Categoria]],tbCategorias[Categoria],0)),"")</f>
        <v>Renda</v>
      </c>
      <c r="I78" s="156">
        <f>IF(tbLancamentos[[#This Row],[Data]]="","",DATE(YEAR(tbLancamentos[[#This Row],[Data]]),MONTH(tbLancamentos[[#This Row],[Data]]),1))</f>
        <v>46082</v>
      </c>
    </row>
    <row r="79" spans="2:9" x14ac:dyDescent="0.35">
      <c r="B79" s="154">
        <v>46091</v>
      </c>
      <c r="C79" s="73" t="s">
        <v>55</v>
      </c>
      <c r="D79" s="73" t="s">
        <v>12</v>
      </c>
      <c r="E79" s="23">
        <v>1200</v>
      </c>
      <c r="F79" s="73" t="s">
        <v>36</v>
      </c>
      <c r="G79" s="155" t="str">
        <f>IFERROR(INDEX(tbCategorias[Tipo],MATCH(tbLancamentos[[#This Row],[Categoria]],tbCategorias[Categoria],0)),"Categoria?")</f>
        <v>Despesa</v>
      </c>
      <c r="H79" s="155" t="str">
        <f>IFERROR(INDEX(tbCategorias[Grupo],MATCH(tbLancamentos[[#This Row],[Categoria]],tbCategorias[Categoria],0)),"")</f>
        <v>Essencial</v>
      </c>
      <c r="I79" s="156">
        <f>IF(tbLancamentos[[#This Row],[Data]]="","",DATE(YEAR(tbLancamentos[[#This Row],[Data]]),MONTH(tbLancamentos[[#This Row],[Data]]),1))</f>
        <v>46082</v>
      </c>
    </row>
    <row r="80" spans="2:9" x14ac:dyDescent="0.35">
      <c r="B80" s="154">
        <v>46092</v>
      </c>
      <c r="C80" s="73" t="s">
        <v>76</v>
      </c>
      <c r="D80" s="73" t="s">
        <v>16</v>
      </c>
      <c r="E80" s="23">
        <v>171.48</v>
      </c>
      <c r="F80" s="73" t="s">
        <v>35</v>
      </c>
      <c r="G80" s="155" t="str">
        <f>IFERROR(INDEX(tbCategorias[Tipo],MATCH(tbLancamentos[[#This Row],[Categoria]],tbCategorias[Categoria],0)),"Categoria?")</f>
        <v>Despesa</v>
      </c>
      <c r="H80" s="155" t="str">
        <f>IFERROR(INDEX(tbCategorias[Grupo],MATCH(tbLancamentos[[#This Row],[Categoria]],tbCategorias[Categoria],0)),"")</f>
        <v>Essencial</v>
      </c>
      <c r="I80" s="156">
        <f>IF(tbLancamentos[[#This Row],[Data]]="","",DATE(YEAR(tbLancamentos[[#This Row],[Data]]),MONTH(tbLancamentos[[#This Row],[Data]]),1))</f>
        <v>46082</v>
      </c>
    </row>
    <row r="81" spans="2:9" x14ac:dyDescent="0.35">
      <c r="B81" s="154">
        <v>46093</v>
      </c>
      <c r="C81" s="73" t="s">
        <v>57</v>
      </c>
      <c r="D81" s="73" t="s">
        <v>15</v>
      </c>
      <c r="E81" s="23">
        <v>212.58</v>
      </c>
      <c r="F81" s="73" t="s">
        <v>36</v>
      </c>
      <c r="G81" s="155" t="str">
        <f>IFERROR(INDEX(tbCategorias[Tipo],MATCH(tbLancamentos[[#This Row],[Categoria]],tbCategorias[Categoria],0)),"Categoria?")</f>
        <v>Despesa</v>
      </c>
      <c r="H81" s="155" t="str">
        <f>IFERROR(INDEX(tbCategorias[Grupo],MATCH(tbLancamentos[[#This Row],[Categoria]],tbCategorias[Categoria],0)),"")</f>
        <v>Essencial</v>
      </c>
      <c r="I81" s="156">
        <f>IF(tbLancamentos[[#This Row],[Data]]="","",DATE(YEAR(tbLancamentos[[#This Row],[Data]]),MONTH(tbLancamentos[[#This Row],[Data]]),1))</f>
        <v>46082</v>
      </c>
    </row>
    <row r="82" spans="2:9" x14ac:dyDescent="0.35">
      <c r="B82" s="154">
        <v>46093</v>
      </c>
      <c r="C82" s="73" t="s">
        <v>72</v>
      </c>
      <c r="D82" s="73" t="s">
        <v>20</v>
      </c>
      <c r="E82" s="23">
        <v>116.67</v>
      </c>
      <c r="F82" s="73" t="s">
        <v>34</v>
      </c>
      <c r="G82" s="155" t="str">
        <f>IFERROR(INDEX(tbCategorias[Tipo],MATCH(tbLancamentos[[#This Row],[Categoria]],tbCategorias[Categoria],0)),"Categoria?")</f>
        <v>Despesa</v>
      </c>
      <c r="H82" s="155" t="str">
        <f>IFERROR(INDEX(tbCategorias[Grupo],MATCH(tbLancamentos[[#This Row],[Categoria]],tbCategorias[Categoria],0)),"")</f>
        <v>Estilo de vida</v>
      </c>
      <c r="I82" s="156">
        <f>IF(tbLancamentos[[#This Row],[Data]]="","",DATE(YEAR(tbLancamentos[[#This Row],[Data]]),MONTH(tbLancamentos[[#This Row],[Data]]),1))</f>
        <v>46082</v>
      </c>
    </row>
    <row r="83" spans="2:9" x14ac:dyDescent="0.35">
      <c r="B83" s="154">
        <v>46095</v>
      </c>
      <c r="C83" s="73" t="s">
        <v>74</v>
      </c>
      <c r="D83" s="73" t="s">
        <v>18</v>
      </c>
      <c r="E83" s="23">
        <v>106.94</v>
      </c>
      <c r="F83" s="73" t="s">
        <v>35</v>
      </c>
      <c r="G83" s="155" t="str">
        <f>IFERROR(INDEX(tbCategorias[Tipo],MATCH(tbLancamentos[[#This Row],[Categoria]],tbCategorias[Categoria],0)),"Categoria?")</f>
        <v>Despesa</v>
      </c>
      <c r="H83" s="155" t="str">
        <f>IFERROR(INDEX(tbCategorias[Grupo],MATCH(tbLancamentos[[#This Row],[Categoria]],tbCategorias[Categoria],0)),"")</f>
        <v>Essencial</v>
      </c>
      <c r="I83" s="156">
        <f>IF(tbLancamentos[[#This Row],[Data]]="","",DATE(YEAR(tbLancamentos[[#This Row],[Data]]),MONTH(tbLancamentos[[#This Row],[Data]]),1))</f>
        <v>46082</v>
      </c>
    </row>
    <row r="84" spans="2:9" x14ac:dyDescent="0.35">
      <c r="B84" s="154">
        <v>46095</v>
      </c>
      <c r="C84" s="73" t="s">
        <v>60</v>
      </c>
      <c r="D84" s="73" t="s">
        <v>23</v>
      </c>
      <c r="E84" s="23">
        <v>21.9</v>
      </c>
      <c r="F84" s="73" t="s">
        <v>34</v>
      </c>
      <c r="G84" s="155" t="str">
        <f>IFERROR(INDEX(tbCategorias[Tipo],MATCH(tbLancamentos[[#This Row],[Categoria]],tbCategorias[Categoria],0)),"Categoria?")</f>
        <v>Despesa</v>
      </c>
      <c r="H84" s="155" t="str">
        <f>IFERROR(INDEX(tbCategorias[Grupo],MATCH(tbLancamentos[[#This Row],[Categoria]],tbCategorias[Categoria],0)),"")</f>
        <v>Estilo de vida</v>
      </c>
      <c r="I84" s="156">
        <f>IF(tbLancamentos[[#This Row],[Data]]="","",DATE(YEAR(tbLancamentos[[#This Row],[Data]]),MONTH(tbLancamentos[[#This Row],[Data]]),1))</f>
        <v>46082</v>
      </c>
    </row>
    <row r="85" spans="2:9" x14ac:dyDescent="0.35">
      <c r="B85" s="154">
        <v>46095</v>
      </c>
      <c r="C85" s="73" t="s">
        <v>59</v>
      </c>
      <c r="D85" s="73" t="s">
        <v>23</v>
      </c>
      <c r="E85" s="23">
        <v>44.9</v>
      </c>
      <c r="F85" s="73" t="s">
        <v>34</v>
      </c>
      <c r="G85" s="155" t="str">
        <f>IFERROR(INDEX(tbCategorias[Tipo],MATCH(tbLancamentos[[#This Row],[Categoria]],tbCategorias[Categoria],0)),"Categoria?")</f>
        <v>Despesa</v>
      </c>
      <c r="H85" s="155" t="str">
        <f>IFERROR(INDEX(tbCategorias[Grupo],MATCH(tbLancamentos[[#This Row],[Categoria]],tbCategorias[Categoria],0)),"")</f>
        <v>Estilo de vida</v>
      </c>
      <c r="I85" s="156">
        <f>IF(tbLancamentos[[#This Row],[Data]]="","",DATE(YEAR(tbLancamentos[[#This Row],[Data]]),MONTH(tbLancamentos[[#This Row],[Data]]),1))</f>
        <v>46082</v>
      </c>
    </row>
    <row r="86" spans="2:9" x14ac:dyDescent="0.35">
      <c r="B86" s="154">
        <v>46095</v>
      </c>
      <c r="C86" s="73" t="s">
        <v>61</v>
      </c>
      <c r="D86" s="73" t="s">
        <v>20</v>
      </c>
      <c r="E86" s="23">
        <v>102.55</v>
      </c>
      <c r="F86" s="73" t="s">
        <v>34</v>
      </c>
      <c r="G86" s="155" t="str">
        <f>IFERROR(INDEX(tbCategorias[Tipo],MATCH(tbLancamentos[[#This Row],[Categoria]],tbCategorias[Categoria],0)),"Categoria?")</f>
        <v>Despesa</v>
      </c>
      <c r="H86" s="155" t="str">
        <f>IFERROR(INDEX(tbCategorias[Grupo],MATCH(tbLancamentos[[#This Row],[Categoria]],tbCategorias[Categoria],0)),"")</f>
        <v>Estilo de vida</v>
      </c>
      <c r="I86" s="156">
        <f>IF(tbLancamentos[[#This Row],[Data]]="","",DATE(YEAR(tbLancamentos[[#This Row],[Data]]),MONTH(tbLancamentos[[#This Row],[Data]]),1))</f>
        <v>46082</v>
      </c>
    </row>
    <row r="87" spans="2:9" x14ac:dyDescent="0.35">
      <c r="B87" s="154">
        <v>46096</v>
      </c>
      <c r="C87" s="73" t="s">
        <v>63</v>
      </c>
      <c r="D87" s="73" t="s">
        <v>15</v>
      </c>
      <c r="E87" s="23">
        <v>65.27</v>
      </c>
      <c r="F87" s="73" t="s">
        <v>36</v>
      </c>
      <c r="G87" s="155" t="str">
        <f>IFERROR(INDEX(tbCategorias[Tipo],MATCH(tbLancamentos[[#This Row],[Categoria]],tbCategorias[Categoria],0)),"Categoria?")</f>
        <v>Despesa</v>
      </c>
      <c r="H87" s="155" t="str">
        <f>IFERROR(INDEX(tbCategorias[Grupo],MATCH(tbLancamentos[[#This Row],[Categoria]],tbCategorias[Categoria],0)),"")</f>
        <v>Essencial</v>
      </c>
      <c r="I87" s="156">
        <f>IF(tbLancamentos[[#This Row],[Data]]="","",DATE(YEAR(tbLancamentos[[#This Row],[Data]]),MONTH(tbLancamentos[[#This Row],[Data]]),1))</f>
        <v>46082</v>
      </c>
    </row>
    <row r="88" spans="2:9" x14ac:dyDescent="0.35">
      <c r="B88" s="154">
        <v>46099</v>
      </c>
      <c r="C88" s="73" t="s">
        <v>56</v>
      </c>
      <c r="D88" s="73" t="s">
        <v>16</v>
      </c>
      <c r="E88" s="23">
        <v>152.31</v>
      </c>
      <c r="F88" s="73" t="s">
        <v>34</v>
      </c>
      <c r="G88" s="155" t="str">
        <f>IFERROR(INDEX(tbCategorias[Tipo],MATCH(tbLancamentos[[#This Row],[Categoria]],tbCategorias[Categoria],0)),"Categoria?")</f>
        <v>Despesa</v>
      </c>
      <c r="H88" s="155" t="str">
        <f>IFERROR(INDEX(tbCategorias[Grupo],MATCH(tbLancamentos[[#This Row],[Categoria]],tbCategorias[Categoria],0)),"")</f>
        <v>Essencial</v>
      </c>
      <c r="I88" s="156">
        <f>IF(tbLancamentos[[#This Row],[Data]]="","",DATE(YEAR(tbLancamentos[[#This Row],[Data]]),MONTH(tbLancamentos[[#This Row],[Data]]),1))</f>
        <v>46082</v>
      </c>
    </row>
    <row r="89" spans="2:9" x14ac:dyDescent="0.35">
      <c r="B89" s="154">
        <v>46099</v>
      </c>
      <c r="C89" s="73" t="s">
        <v>65</v>
      </c>
      <c r="D89" s="73" t="s">
        <v>15</v>
      </c>
      <c r="E89" s="23">
        <v>99.9</v>
      </c>
      <c r="F89" s="73" t="s">
        <v>35</v>
      </c>
      <c r="G89" s="155" t="str">
        <f>IFERROR(INDEX(tbCategorias[Tipo],MATCH(tbLancamentos[[#This Row],[Categoria]],tbCategorias[Categoria],0)),"Categoria?")</f>
        <v>Despesa</v>
      </c>
      <c r="H89" s="155" t="str">
        <f>IFERROR(INDEX(tbCategorias[Grupo],MATCH(tbLancamentos[[#This Row],[Categoria]],tbCategorias[Categoria],0)),"")</f>
        <v>Essencial</v>
      </c>
      <c r="I89" s="156">
        <f>IF(tbLancamentos[[#This Row],[Data]]="","",DATE(YEAR(tbLancamentos[[#This Row],[Data]]),MONTH(tbLancamentos[[#This Row],[Data]]),1))</f>
        <v>46082</v>
      </c>
    </row>
    <row r="90" spans="2:9" x14ac:dyDescent="0.35">
      <c r="B90" s="154">
        <v>46100</v>
      </c>
      <c r="C90" s="73" t="s">
        <v>49</v>
      </c>
      <c r="D90" s="73" t="s">
        <v>17</v>
      </c>
      <c r="E90" s="23">
        <v>142.53</v>
      </c>
      <c r="F90" s="73" t="s">
        <v>34</v>
      </c>
      <c r="G90" s="155" t="str">
        <f>IFERROR(INDEX(tbCategorias[Tipo],MATCH(tbLancamentos[[#This Row],[Categoria]],tbCategorias[Categoria],0)),"Categoria?")</f>
        <v>Despesa</v>
      </c>
      <c r="H90" s="155" t="str">
        <f>IFERROR(INDEX(tbCategorias[Grupo],MATCH(tbLancamentos[[#This Row],[Categoria]],tbCategorias[Categoria],0)),"")</f>
        <v>Essencial</v>
      </c>
      <c r="I90" s="156">
        <f>IF(tbLancamentos[[#This Row],[Data]]="","",DATE(YEAR(tbLancamentos[[#This Row],[Data]]),MONTH(tbLancamentos[[#This Row],[Data]]),1))</f>
        <v>46082</v>
      </c>
    </row>
    <row r="91" spans="2:9" x14ac:dyDescent="0.35">
      <c r="B91" s="154">
        <v>46100</v>
      </c>
      <c r="C91" s="73" t="s">
        <v>79</v>
      </c>
      <c r="D91" s="73" t="s">
        <v>22</v>
      </c>
      <c r="E91" s="23">
        <v>122.71</v>
      </c>
      <c r="F91" s="73" t="s">
        <v>33</v>
      </c>
      <c r="G91" s="155" t="str">
        <f>IFERROR(INDEX(tbCategorias[Tipo],MATCH(tbLancamentos[[#This Row],[Categoria]],tbCategorias[Categoria],0)),"Categoria?")</f>
        <v>Despesa</v>
      </c>
      <c r="H91" s="155" t="str">
        <f>IFERROR(INDEX(tbCategorias[Grupo],MATCH(tbLancamentos[[#This Row],[Categoria]],tbCategorias[Categoria],0)),"")</f>
        <v>Estilo de vida</v>
      </c>
      <c r="I91" s="156">
        <f>IF(tbLancamentos[[#This Row],[Data]]="","",DATE(YEAR(tbLancamentos[[#This Row],[Data]]),MONTH(tbLancamentos[[#This Row],[Data]]),1))</f>
        <v>46082</v>
      </c>
    </row>
    <row r="92" spans="2:9" x14ac:dyDescent="0.35">
      <c r="B92" s="154">
        <v>46101</v>
      </c>
      <c r="C92" s="73" t="s">
        <v>67</v>
      </c>
      <c r="D92" s="73" t="s">
        <v>15</v>
      </c>
      <c r="E92" s="23">
        <v>49.9</v>
      </c>
      <c r="F92" s="73" t="s">
        <v>34</v>
      </c>
      <c r="G92" s="155" t="str">
        <f>IFERROR(INDEX(tbCategorias[Tipo],MATCH(tbLancamentos[[#This Row],[Categoria]],tbCategorias[Categoria],0)),"Categoria?")</f>
        <v>Despesa</v>
      </c>
      <c r="H92" s="155" t="str">
        <f>IFERROR(INDEX(tbCategorias[Grupo],MATCH(tbLancamentos[[#This Row],[Categoria]],tbCategorias[Categoria],0)),"")</f>
        <v>Essencial</v>
      </c>
      <c r="I92" s="156">
        <f>IF(tbLancamentos[[#This Row],[Data]]="","",DATE(YEAR(tbLancamentos[[#This Row],[Data]]),MONTH(tbLancamentos[[#This Row],[Data]]),1))</f>
        <v>46082</v>
      </c>
    </row>
    <row r="93" spans="2:9" x14ac:dyDescent="0.35">
      <c r="B93" s="154">
        <v>46101</v>
      </c>
      <c r="C93" s="73" t="s">
        <v>66</v>
      </c>
      <c r="D93" s="73" t="s">
        <v>19</v>
      </c>
      <c r="E93" s="23">
        <v>79.900000000000006</v>
      </c>
      <c r="F93" s="73" t="s">
        <v>34</v>
      </c>
      <c r="G93" s="155" t="str">
        <f>IFERROR(INDEX(tbCategorias[Tipo],MATCH(tbLancamentos[[#This Row],[Categoria]],tbCategorias[Categoria],0)),"Categoria?")</f>
        <v>Despesa</v>
      </c>
      <c r="H93" s="155" t="str">
        <f>IFERROR(INDEX(tbCategorias[Grupo],MATCH(tbLancamentos[[#This Row],[Categoria]],tbCategorias[Categoria],0)),"")</f>
        <v>Essencial</v>
      </c>
      <c r="I93" s="156">
        <f>IF(tbLancamentos[[#This Row],[Data]]="","",DATE(YEAR(tbLancamentos[[#This Row],[Data]]),MONTH(tbLancamentos[[#This Row],[Data]]),1))</f>
        <v>46082</v>
      </c>
    </row>
    <row r="94" spans="2:9" x14ac:dyDescent="0.35">
      <c r="B94" s="154">
        <v>46105</v>
      </c>
      <c r="C94" s="73" t="s">
        <v>46</v>
      </c>
      <c r="D94" s="73" t="s">
        <v>16</v>
      </c>
      <c r="E94" s="23">
        <v>160.79</v>
      </c>
      <c r="F94" s="73" t="s">
        <v>33</v>
      </c>
      <c r="G94" s="155" t="str">
        <f>IFERROR(INDEX(tbCategorias[Tipo],MATCH(tbLancamentos[[#This Row],[Categoria]],tbCategorias[Categoria],0)),"Categoria?")</f>
        <v>Despesa</v>
      </c>
      <c r="H94" s="155" t="str">
        <f>IFERROR(INDEX(tbCategorias[Grupo],MATCH(tbLancamentos[[#This Row],[Categoria]],tbCategorias[Categoria],0)),"")</f>
        <v>Essencial</v>
      </c>
      <c r="I94" s="156">
        <f>IF(tbLancamentos[[#This Row],[Data]]="","",DATE(YEAR(tbLancamentos[[#This Row],[Data]]),MONTH(tbLancamentos[[#This Row],[Data]]),1))</f>
        <v>46082</v>
      </c>
    </row>
    <row r="95" spans="2:9" x14ac:dyDescent="0.35">
      <c r="B95" s="154">
        <v>46116</v>
      </c>
      <c r="C95" s="73" t="s">
        <v>46</v>
      </c>
      <c r="D95" s="73" t="s">
        <v>16</v>
      </c>
      <c r="E95" s="23">
        <v>305.36</v>
      </c>
      <c r="F95" s="73" t="s">
        <v>35</v>
      </c>
      <c r="G95" s="155" t="str">
        <f>IFERROR(INDEX(tbCategorias[Tipo],MATCH(tbLancamentos[[#This Row],[Categoria]],tbCategorias[Categoria],0)),"Categoria?")</f>
        <v>Despesa</v>
      </c>
      <c r="H95" s="155" t="str">
        <f>IFERROR(INDEX(tbCategorias[Grupo],MATCH(tbLancamentos[[#This Row],[Categoria]],tbCategorias[Categoria],0)),"")</f>
        <v>Essencial</v>
      </c>
      <c r="I95" s="156">
        <f>IF(tbLancamentos[[#This Row],[Data]]="","",DATE(YEAR(tbLancamentos[[#This Row],[Data]]),MONTH(tbLancamentos[[#This Row],[Data]]),1))</f>
        <v>46113</v>
      </c>
    </row>
    <row r="96" spans="2:9" x14ac:dyDescent="0.35">
      <c r="B96" s="154">
        <v>46117</v>
      </c>
      <c r="C96" s="73" t="s">
        <v>7</v>
      </c>
      <c r="D96" s="73" t="s">
        <v>7</v>
      </c>
      <c r="E96" s="23">
        <v>5800</v>
      </c>
      <c r="F96" s="73" t="s">
        <v>33</v>
      </c>
      <c r="G96" s="155" t="str">
        <f>IFERROR(INDEX(tbCategorias[Tipo],MATCH(tbLancamentos[[#This Row],[Categoria]],tbCategorias[Categoria],0)),"Categoria?")</f>
        <v>Receita</v>
      </c>
      <c r="H96" s="155" t="str">
        <f>IFERROR(INDEX(tbCategorias[Grupo],MATCH(tbLancamentos[[#This Row],[Categoria]],tbCategorias[Categoria],0)),"")</f>
        <v>Renda</v>
      </c>
      <c r="I96" s="156">
        <f>IF(tbLancamentos[[#This Row],[Data]]="","",DATE(YEAR(tbLancamentos[[#This Row],[Data]]),MONTH(tbLancamentos[[#This Row],[Data]]),1))</f>
        <v>46113</v>
      </c>
    </row>
    <row r="97" spans="2:9" x14ac:dyDescent="0.35">
      <c r="B97" s="154">
        <v>46118</v>
      </c>
      <c r="C97" s="73" t="s">
        <v>49</v>
      </c>
      <c r="D97" s="73" t="s">
        <v>17</v>
      </c>
      <c r="E97" s="23">
        <v>117.33</v>
      </c>
      <c r="F97" s="73" t="s">
        <v>34</v>
      </c>
      <c r="G97" s="155" t="str">
        <f>IFERROR(INDEX(tbCategorias[Tipo],MATCH(tbLancamentos[[#This Row],[Categoria]],tbCategorias[Categoria],0)),"Categoria?")</f>
        <v>Despesa</v>
      </c>
      <c r="H97" s="155" t="str">
        <f>IFERROR(INDEX(tbCategorias[Grupo],MATCH(tbLancamentos[[#This Row],[Categoria]],tbCategorias[Categoria],0)),"")</f>
        <v>Essencial</v>
      </c>
      <c r="I97" s="156">
        <f>IF(tbLancamentos[[#This Row],[Data]]="","",DATE(YEAR(tbLancamentos[[#This Row],[Data]]),MONTH(tbLancamentos[[#This Row],[Data]]),1))</f>
        <v>46113</v>
      </c>
    </row>
    <row r="98" spans="2:9" x14ac:dyDescent="0.35">
      <c r="B98" s="154">
        <v>46119</v>
      </c>
      <c r="C98" s="73" t="s">
        <v>50</v>
      </c>
      <c r="D98" s="73" t="s">
        <v>26</v>
      </c>
      <c r="E98" s="23">
        <v>600</v>
      </c>
      <c r="F98" s="73" t="s">
        <v>33</v>
      </c>
      <c r="G98" s="155" t="str">
        <f>IFERROR(INDEX(tbCategorias[Tipo],MATCH(tbLancamentos[[#This Row],[Categoria]],tbCategorias[Categoria],0)),"Categoria?")</f>
        <v>Investimento</v>
      </c>
      <c r="H98" s="155" t="str">
        <f>IFERROR(INDEX(tbCategorias[Grupo],MATCH(tbLancamentos[[#This Row],[Categoria]],tbCategorias[Categoria],0)),"")</f>
        <v>Investimento</v>
      </c>
      <c r="I98" s="156">
        <f>IF(tbLancamentos[[#This Row],[Data]]="","",DATE(YEAR(tbLancamentos[[#This Row],[Data]]),MONTH(tbLancamentos[[#This Row],[Data]]),1))</f>
        <v>46113</v>
      </c>
    </row>
    <row r="99" spans="2:9" x14ac:dyDescent="0.35">
      <c r="B99" s="154">
        <v>46120</v>
      </c>
      <c r="C99" s="73" t="s">
        <v>54</v>
      </c>
      <c r="D99" s="73" t="s">
        <v>18</v>
      </c>
      <c r="E99" s="23">
        <v>59.9</v>
      </c>
      <c r="F99" s="73" t="s">
        <v>36</v>
      </c>
      <c r="G99" s="155" t="str">
        <f>IFERROR(INDEX(tbCategorias[Tipo],MATCH(tbLancamentos[[#This Row],[Categoria]],tbCategorias[Categoria],0)),"Categoria?")</f>
        <v>Despesa</v>
      </c>
      <c r="H99" s="155" t="str">
        <f>IFERROR(INDEX(tbCategorias[Grupo],MATCH(tbLancamentos[[#This Row],[Categoria]],tbCategorias[Categoria],0)),"")</f>
        <v>Essencial</v>
      </c>
      <c r="I99" s="156">
        <f>IF(tbLancamentos[[#This Row],[Data]]="","",DATE(YEAR(tbLancamentos[[#This Row],[Data]]),MONTH(tbLancamentos[[#This Row],[Data]]),1))</f>
        <v>46113</v>
      </c>
    </row>
    <row r="100" spans="2:9" x14ac:dyDescent="0.35">
      <c r="B100" s="154">
        <v>46120</v>
      </c>
      <c r="C100" s="73" t="s">
        <v>64</v>
      </c>
      <c r="D100" s="73" t="s">
        <v>22</v>
      </c>
      <c r="E100" s="23">
        <v>80.790000000000006</v>
      </c>
      <c r="F100" s="73" t="s">
        <v>34</v>
      </c>
      <c r="G100" s="155" t="str">
        <f>IFERROR(INDEX(tbCategorias[Tipo],MATCH(tbLancamentos[[#This Row],[Categoria]],tbCategorias[Categoria],0)),"Categoria?")</f>
        <v>Despesa</v>
      </c>
      <c r="H100" s="155" t="str">
        <f>IFERROR(INDEX(tbCategorias[Grupo],MATCH(tbLancamentos[[#This Row],[Categoria]],tbCategorias[Categoria],0)),"")</f>
        <v>Estilo de vida</v>
      </c>
      <c r="I100" s="156">
        <f>IF(tbLancamentos[[#This Row],[Data]]="","",DATE(YEAR(tbLancamentos[[#This Row],[Data]]),MONTH(tbLancamentos[[#This Row],[Data]]),1))</f>
        <v>46113</v>
      </c>
    </row>
    <row r="101" spans="2:9" x14ac:dyDescent="0.35">
      <c r="B101" s="154">
        <v>46120</v>
      </c>
      <c r="C101" s="73" t="s">
        <v>52</v>
      </c>
      <c r="D101" s="73" t="s">
        <v>18</v>
      </c>
      <c r="E101" s="23">
        <v>99.9</v>
      </c>
      <c r="F101" s="73" t="s">
        <v>34</v>
      </c>
      <c r="G101" s="155" t="str">
        <f>IFERROR(INDEX(tbCategorias[Tipo],MATCH(tbLancamentos[[#This Row],[Categoria]],tbCategorias[Categoria],0)),"Categoria?")</f>
        <v>Despesa</v>
      </c>
      <c r="H101" s="155" t="str">
        <f>IFERROR(INDEX(tbCategorias[Grupo],MATCH(tbLancamentos[[#This Row],[Categoria]],tbCategorias[Categoria],0)),"")</f>
        <v>Essencial</v>
      </c>
      <c r="I101" s="156">
        <f>IF(tbLancamentos[[#This Row],[Data]]="","",DATE(YEAR(tbLancamentos[[#This Row],[Data]]),MONTH(tbLancamentos[[#This Row],[Data]]),1))</f>
        <v>46113</v>
      </c>
    </row>
    <row r="102" spans="2:9" x14ac:dyDescent="0.35">
      <c r="B102" s="154">
        <v>46121</v>
      </c>
      <c r="C102" s="73" t="s">
        <v>53</v>
      </c>
      <c r="D102" s="73" t="s">
        <v>20</v>
      </c>
      <c r="E102" s="23">
        <v>94.3</v>
      </c>
      <c r="F102" s="73" t="s">
        <v>34</v>
      </c>
      <c r="G102" s="155" t="str">
        <f>IFERROR(INDEX(tbCategorias[Tipo],MATCH(tbLancamentos[[#This Row],[Categoria]],tbCategorias[Categoria],0)),"Categoria?")</f>
        <v>Despesa</v>
      </c>
      <c r="H102" s="155" t="str">
        <f>IFERROR(INDEX(tbCategorias[Grupo],MATCH(tbLancamentos[[#This Row],[Categoria]],tbCategorias[Categoria],0)),"")</f>
        <v>Estilo de vida</v>
      </c>
      <c r="I102" s="156">
        <f>IF(tbLancamentos[[#This Row],[Data]]="","",DATE(YEAR(tbLancamentos[[#This Row],[Data]]),MONTH(tbLancamentos[[#This Row],[Data]]),1))</f>
        <v>46113</v>
      </c>
    </row>
    <row r="103" spans="2:9" x14ac:dyDescent="0.35">
      <c r="B103" s="154">
        <v>46122</v>
      </c>
      <c r="C103" s="73" t="s">
        <v>55</v>
      </c>
      <c r="D103" s="73" t="s">
        <v>12</v>
      </c>
      <c r="E103" s="23">
        <v>1200</v>
      </c>
      <c r="F103" s="73" t="s">
        <v>36</v>
      </c>
      <c r="G103" s="155" t="str">
        <f>IFERROR(INDEX(tbCategorias[Tipo],MATCH(tbLancamentos[[#This Row],[Categoria]],tbCategorias[Categoria],0)),"Categoria?")</f>
        <v>Despesa</v>
      </c>
      <c r="H103" s="155" t="str">
        <f>IFERROR(INDEX(tbCategorias[Grupo],MATCH(tbLancamentos[[#This Row],[Categoria]],tbCategorias[Categoria],0)),"")</f>
        <v>Essencial</v>
      </c>
      <c r="I103" s="156">
        <f>IF(tbLancamentos[[#This Row],[Data]]="","",DATE(YEAR(tbLancamentos[[#This Row],[Data]]),MONTH(tbLancamentos[[#This Row],[Data]]),1))</f>
        <v>46113</v>
      </c>
    </row>
    <row r="104" spans="2:9" x14ac:dyDescent="0.35">
      <c r="B104" s="154">
        <v>46122</v>
      </c>
      <c r="C104" s="73" t="s">
        <v>68</v>
      </c>
      <c r="D104" s="73" t="s">
        <v>16</v>
      </c>
      <c r="E104" s="23">
        <v>160.27000000000001</v>
      </c>
      <c r="F104" s="73" t="s">
        <v>33</v>
      </c>
      <c r="G104" s="155" t="str">
        <f>IFERROR(INDEX(tbCategorias[Tipo],MATCH(tbLancamentos[[#This Row],[Categoria]],tbCategorias[Categoria],0)),"Categoria?")</f>
        <v>Despesa</v>
      </c>
      <c r="H104" s="155" t="str">
        <f>IFERROR(INDEX(tbCategorias[Grupo],MATCH(tbLancamentos[[#This Row],[Categoria]],tbCategorias[Categoria],0)),"")</f>
        <v>Essencial</v>
      </c>
      <c r="I104" s="156">
        <f>IF(tbLancamentos[[#This Row],[Data]]="","",DATE(YEAR(tbLancamentos[[#This Row],[Data]]),MONTH(tbLancamentos[[#This Row],[Data]]),1))</f>
        <v>46113</v>
      </c>
    </row>
    <row r="105" spans="2:9" x14ac:dyDescent="0.35">
      <c r="B105" s="154">
        <v>46124</v>
      </c>
      <c r="C105" s="73" t="s">
        <v>57</v>
      </c>
      <c r="D105" s="73" t="s">
        <v>15</v>
      </c>
      <c r="E105" s="23">
        <v>163.97</v>
      </c>
      <c r="F105" s="73" t="s">
        <v>36</v>
      </c>
      <c r="G105" s="155" t="str">
        <f>IFERROR(INDEX(tbCategorias[Tipo],MATCH(tbLancamentos[[#This Row],[Categoria]],tbCategorias[Categoria],0)),"Categoria?")</f>
        <v>Despesa</v>
      </c>
      <c r="H105" s="155" t="str">
        <f>IFERROR(INDEX(tbCategorias[Grupo],MATCH(tbLancamentos[[#This Row],[Categoria]],tbCategorias[Categoria],0)),"")</f>
        <v>Essencial</v>
      </c>
      <c r="I105" s="156">
        <f>IF(tbLancamentos[[#This Row],[Data]]="","",DATE(YEAR(tbLancamentos[[#This Row],[Data]]),MONTH(tbLancamentos[[#This Row],[Data]]),1))</f>
        <v>46113</v>
      </c>
    </row>
    <row r="106" spans="2:9" x14ac:dyDescent="0.35">
      <c r="B106" s="154">
        <v>46125</v>
      </c>
      <c r="C106" s="73" t="s">
        <v>53</v>
      </c>
      <c r="D106" s="73" t="s">
        <v>20</v>
      </c>
      <c r="E106" s="23">
        <v>38.21</v>
      </c>
      <c r="F106" s="73" t="s">
        <v>33</v>
      </c>
      <c r="G106" s="155" t="str">
        <f>IFERROR(INDEX(tbCategorias[Tipo],MATCH(tbLancamentos[[#This Row],[Categoria]],tbCategorias[Categoria],0)),"Categoria?")</f>
        <v>Despesa</v>
      </c>
      <c r="H106" s="155" t="str">
        <f>IFERROR(INDEX(tbCategorias[Grupo],MATCH(tbLancamentos[[#This Row],[Categoria]],tbCategorias[Categoria],0)),"")</f>
        <v>Estilo de vida</v>
      </c>
      <c r="I106" s="156">
        <f>IF(tbLancamentos[[#This Row],[Data]]="","",DATE(YEAR(tbLancamentos[[#This Row],[Data]]),MONTH(tbLancamentos[[#This Row],[Data]]),1))</f>
        <v>46113</v>
      </c>
    </row>
    <row r="107" spans="2:9" x14ac:dyDescent="0.35">
      <c r="B107" s="154">
        <v>46126</v>
      </c>
      <c r="C107" s="73" t="s">
        <v>60</v>
      </c>
      <c r="D107" s="73" t="s">
        <v>23</v>
      </c>
      <c r="E107" s="23">
        <v>21.9</v>
      </c>
      <c r="F107" s="73" t="s">
        <v>34</v>
      </c>
      <c r="G107" s="155" t="str">
        <f>IFERROR(INDEX(tbCategorias[Tipo],MATCH(tbLancamentos[[#This Row],[Categoria]],tbCategorias[Categoria],0)),"Categoria?")</f>
        <v>Despesa</v>
      </c>
      <c r="H107" s="155" t="str">
        <f>IFERROR(INDEX(tbCategorias[Grupo],MATCH(tbLancamentos[[#This Row],[Categoria]],tbCategorias[Categoria],0)),"")</f>
        <v>Estilo de vida</v>
      </c>
      <c r="I107" s="156">
        <f>IF(tbLancamentos[[#This Row],[Data]]="","",DATE(YEAR(tbLancamentos[[#This Row],[Data]]),MONTH(tbLancamentos[[#This Row],[Data]]),1))</f>
        <v>46113</v>
      </c>
    </row>
    <row r="108" spans="2:9" x14ac:dyDescent="0.35">
      <c r="B108" s="154">
        <v>46126</v>
      </c>
      <c r="C108" s="73" t="s">
        <v>61</v>
      </c>
      <c r="D108" s="73" t="s">
        <v>20</v>
      </c>
      <c r="E108" s="23">
        <v>81.52</v>
      </c>
      <c r="F108" s="73" t="s">
        <v>34</v>
      </c>
      <c r="G108" s="155" t="str">
        <f>IFERROR(INDEX(tbCategorias[Tipo],MATCH(tbLancamentos[[#This Row],[Categoria]],tbCategorias[Categoria],0)),"Categoria?")</f>
        <v>Despesa</v>
      </c>
      <c r="H108" s="155" t="str">
        <f>IFERROR(INDEX(tbCategorias[Grupo],MATCH(tbLancamentos[[#This Row],[Categoria]],tbCategorias[Categoria],0)),"")</f>
        <v>Estilo de vida</v>
      </c>
      <c r="I108" s="156">
        <f>IF(tbLancamentos[[#This Row],[Data]]="","",DATE(YEAR(tbLancamentos[[#This Row],[Data]]),MONTH(tbLancamentos[[#This Row],[Data]]),1))</f>
        <v>46113</v>
      </c>
    </row>
    <row r="109" spans="2:9" x14ac:dyDescent="0.35">
      <c r="B109" s="154">
        <v>46126</v>
      </c>
      <c r="C109" s="73" t="s">
        <v>59</v>
      </c>
      <c r="D109" s="73" t="s">
        <v>23</v>
      </c>
      <c r="E109" s="23">
        <v>44.9</v>
      </c>
      <c r="F109" s="73" t="s">
        <v>34</v>
      </c>
      <c r="G109" s="155" t="str">
        <f>IFERROR(INDEX(tbCategorias[Tipo],MATCH(tbLancamentos[[#This Row],[Categoria]],tbCategorias[Categoria],0)),"Categoria?")</f>
        <v>Despesa</v>
      </c>
      <c r="H109" s="155" t="str">
        <f>IFERROR(INDEX(tbCategorias[Grupo],MATCH(tbLancamentos[[#This Row],[Categoria]],tbCategorias[Categoria],0)),"")</f>
        <v>Estilo de vida</v>
      </c>
      <c r="I109" s="156">
        <f>IF(tbLancamentos[[#This Row],[Data]]="","",DATE(YEAR(tbLancamentos[[#This Row],[Data]]),MONTH(tbLancamentos[[#This Row],[Data]]),1))</f>
        <v>46113</v>
      </c>
    </row>
    <row r="110" spans="2:9" x14ac:dyDescent="0.35">
      <c r="B110" s="154">
        <v>46127</v>
      </c>
      <c r="C110" s="73" t="s">
        <v>62</v>
      </c>
      <c r="D110" s="73" t="s">
        <v>17</v>
      </c>
      <c r="E110" s="23">
        <v>23.7</v>
      </c>
      <c r="F110" s="73" t="s">
        <v>34</v>
      </c>
      <c r="G110" s="155" t="str">
        <f>IFERROR(INDEX(tbCategorias[Tipo],MATCH(tbLancamentos[[#This Row],[Categoria]],tbCategorias[Categoria],0)),"Categoria?")</f>
        <v>Despesa</v>
      </c>
      <c r="H110" s="155" t="str">
        <f>IFERROR(INDEX(tbCategorias[Grupo],MATCH(tbLancamentos[[#This Row],[Categoria]],tbCategorias[Categoria],0)),"")</f>
        <v>Essencial</v>
      </c>
      <c r="I110" s="156">
        <f>IF(tbLancamentos[[#This Row],[Data]]="","",DATE(YEAR(tbLancamentos[[#This Row],[Data]]),MONTH(tbLancamentos[[#This Row],[Data]]),1))</f>
        <v>46113</v>
      </c>
    </row>
    <row r="111" spans="2:9" x14ac:dyDescent="0.35">
      <c r="B111" s="154">
        <v>46127</v>
      </c>
      <c r="C111" s="73" t="s">
        <v>63</v>
      </c>
      <c r="D111" s="73" t="s">
        <v>15</v>
      </c>
      <c r="E111" s="23">
        <v>80.77</v>
      </c>
      <c r="F111" s="73" t="s">
        <v>36</v>
      </c>
      <c r="G111" s="155" t="str">
        <f>IFERROR(INDEX(tbCategorias[Tipo],MATCH(tbLancamentos[[#This Row],[Categoria]],tbCategorias[Categoria],0)),"Categoria?")</f>
        <v>Despesa</v>
      </c>
      <c r="H111" s="155" t="str">
        <f>IFERROR(INDEX(tbCategorias[Grupo],MATCH(tbLancamentos[[#This Row],[Categoria]],tbCategorias[Categoria],0)),"")</f>
        <v>Essencial</v>
      </c>
      <c r="I111" s="156">
        <f>IF(tbLancamentos[[#This Row],[Data]]="","",DATE(YEAR(tbLancamentos[[#This Row],[Data]]),MONTH(tbLancamentos[[#This Row],[Data]]),1))</f>
        <v>46113</v>
      </c>
    </row>
    <row r="112" spans="2:9" x14ac:dyDescent="0.35">
      <c r="B112" s="154">
        <v>46129</v>
      </c>
      <c r="C112" s="73" t="s">
        <v>71</v>
      </c>
      <c r="D112" s="73" t="s">
        <v>24</v>
      </c>
      <c r="E112" s="23">
        <v>188.06</v>
      </c>
      <c r="F112" s="73" t="s">
        <v>34</v>
      </c>
      <c r="G112" s="155" t="str">
        <f>IFERROR(INDEX(tbCategorias[Tipo],MATCH(tbLancamentos[[#This Row],[Categoria]],tbCategorias[Categoria],0)),"Categoria?")</f>
        <v>Despesa</v>
      </c>
      <c r="H112" s="155" t="str">
        <f>IFERROR(INDEX(tbCategorias[Grupo],MATCH(tbLancamentos[[#This Row],[Categoria]],tbCategorias[Categoria],0)),"")</f>
        <v>Estilo de vida</v>
      </c>
      <c r="I112" s="156">
        <f>IF(tbLancamentos[[#This Row],[Data]]="","",DATE(YEAR(tbLancamentos[[#This Row],[Data]]),MONTH(tbLancamentos[[#This Row],[Data]]),1))</f>
        <v>46113</v>
      </c>
    </row>
    <row r="113" spans="2:9" x14ac:dyDescent="0.35">
      <c r="B113" s="154">
        <v>46130</v>
      </c>
      <c r="C113" s="73" t="s">
        <v>46</v>
      </c>
      <c r="D113" s="73" t="s">
        <v>16</v>
      </c>
      <c r="E113" s="23">
        <v>202.51</v>
      </c>
      <c r="F113" s="73" t="s">
        <v>33</v>
      </c>
      <c r="G113" s="155" t="str">
        <f>IFERROR(INDEX(tbCategorias[Tipo],MATCH(tbLancamentos[[#This Row],[Categoria]],tbCategorias[Categoria],0)),"Categoria?")</f>
        <v>Despesa</v>
      </c>
      <c r="H113" s="155" t="str">
        <f>IFERROR(INDEX(tbCategorias[Grupo],MATCH(tbLancamentos[[#This Row],[Categoria]],tbCategorias[Categoria],0)),"")</f>
        <v>Essencial</v>
      </c>
      <c r="I113" s="156">
        <f>IF(tbLancamentos[[#This Row],[Data]]="","",DATE(YEAR(tbLancamentos[[#This Row],[Data]]),MONTH(tbLancamentos[[#This Row],[Data]]),1))</f>
        <v>46113</v>
      </c>
    </row>
    <row r="114" spans="2:9" x14ac:dyDescent="0.35">
      <c r="B114" s="154">
        <v>46130</v>
      </c>
      <c r="C114" s="73" t="s">
        <v>65</v>
      </c>
      <c r="D114" s="73" t="s">
        <v>15</v>
      </c>
      <c r="E114" s="23">
        <v>99.9</v>
      </c>
      <c r="F114" s="73" t="s">
        <v>35</v>
      </c>
      <c r="G114" s="155" t="str">
        <f>IFERROR(INDEX(tbCategorias[Tipo],MATCH(tbLancamentos[[#This Row],[Categoria]],tbCategorias[Categoria],0)),"Categoria?")</f>
        <v>Despesa</v>
      </c>
      <c r="H114" s="155" t="str">
        <f>IFERROR(INDEX(tbCategorias[Grupo],MATCH(tbLancamentos[[#This Row],[Categoria]],tbCategorias[Categoria],0)),"")</f>
        <v>Essencial</v>
      </c>
      <c r="I114" s="156">
        <f>IF(tbLancamentos[[#This Row],[Data]]="","",DATE(YEAR(tbLancamentos[[#This Row],[Data]]),MONTH(tbLancamentos[[#This Row],[Data]]),1))</f>
        <v>46113</v>
      </c>
    </row>
    <row r="115" spans="2:9" x14ac:dyDescent="0.35">
      <c r="B115" s="154">
        <v>46131</v>
      </c>
      <c r="C115" s="73" t="s">
        <v>49</v>
      </c>
      <c r="D115" s="73" t="s">
        <v>17</v>
      </c>
      <c r="E115" s="23">
        <v>151.26</v>
      </c>
      <c r="F115" s="73" t="s">
        <v>34</v>
      </c>
      <c r="G115" s="155" t="str">
        <f>IFERROR(INDEX(tbCategorias[Tipo],MATCH(tbLancamentos[[#This Row],[Categoria]],tbCategorias[Categoria],0)),"Categoria?")</f>
        <v>Despesa</v>
      </c>
      <c r="H115" s="155" t="str">
        <f>IFERROR(INDEX(tbCategorias[Grupo],MATCH(tbLancamentos[[#This Row],[Categoria]],tbCategorias[Categoria],0)),"")</f>
        <v>Essencial</v>
      </c>
      <c r="I115" s="156">
        <f>IF(tbLancamentos[[#This Row],[Data]]="","",DATE(YEAR(tbLancamentos[[#This Row],[Data]]),MONTH(tbLancamentos[[#This Row],[Data]]),1))</f>
        <v>46113</v>
      </c>
    </row>
    <row r="116" spans="2:9" x14ac:dyDescent="0.35">
      <c r="B116" s="154">
        <v>46132</v>
      </c>
      <c r="C116" s="73" t="s">
        <v>67</v>
      </c>
      <c r="D116" s="73" t="s">
        <v>15</v>
      </c>
      <c r="E116" s="23">
        <v>49.9</v>
      </c>
      <c r="F116" s="73" t="s">
        <v>34</v>
      </c>
      <c r="G116" s="155" t="str">
        <f>IFERROR(INDEX(tbCategorias[Tipo],MATCH(tbLancamentos[[#This Row],[Categoria]],tbCategorias[Categoria],0)),"Categoria?")</f>
        <v>Despesa</v>
      </c>
      <c r="H116" s="155" t="str">
        <f>IFERROR(INDEX(tbCategorias[Grupo],MATCH(tbLancamentos[[#This Row],[Categoria]],tbCategorias[Categoria],0)),"")</f>
        <v>Essencial</v>
      </c>
      <c r="I116" s="156">
        <f>IF(tbLancamentos[[#This Row],[Data]]="","",DATE(YEAR(tbLancamentos[[#This Row],[Data]]),MONTH(tbLancamentos[[#This Row],[Data]]),1))</f>
        <v>46113</v>
      </c>
    </row>
    <row r="117" spans="2:9" x14ac:dyDescent="0.35">
      <c r="B117" s="154">
        <v>46132</v>
      </c>
      <c r="C117" s="73" t="s">
        <v>66</v>
      </c>
      <c r="D117" s="73" t="s">
        <v>19</v>
      </c>
      <c r="E117" s="23">
        <v>79.900000000000006</v>
      </c>
      <c r="F117" s="73" t="s">
        <v>34</v>
      </c>
      <c r="G117" s="155" t="str">
        <f>IFERROR(INDEX(tbCategorias[Tipo],MATCH(tbLancamentos[[#This Row],[Categoria]],tbCategorias[Categoria],0)),"Categoria?")</f>
        <v>Despesa</v>
      </c>
      <c r="H117" s="155" t="str">
        <f>IFERROR(INDEX(tbCategorias[Grupo],MATCH(tbLancamentos[[#This Row],[Categoria]],tbCategorias[Categoria],0)),"")</f>
        <v>Essencial</v>
      </c>
      <c r="I117" s="156">
        <f>IF(tbLancamentos[[#This Row],[Data]]="","",DATE(YEAR(tbLancamentos[[#This Row],[Data]]),MONTH(tbLancamentos[[#This Row],[Data]]),1))</f>
        <v>46113</v>
      </c>
    </row>
    <row r="118" spans="2:9" x14ac:dyDescent="0.35">
      <c r="B118" s="154">
        <v>46134</v>
      </c>
      <c r="C118" s="73" t="s">
        <v>80</v>
      </c>
      <c r="D118" s="73" t="s">
        <v>24</v>
      </c>
      <c r="E118" s="23">
        <v>126.06</v>
      </c>
      <c r="F118" s="73" t="s">
        <v>34</v>
      </c>
      <c r="G118" s="155" t="str">
        <f>IFERROR(INDEX(tbCategorias[Tipo],MATCH(tbLancamentos[[#This Row],[Categoria]],tbCategorias[Categoria],0)),"Categoria?")</f>
        <v>Despesa</v>
      </c>
      <c r="H118" s="155" t="str">
        <f>IFERROR(INDEX(tbCategorias[Grupo],MATCH(tbLancamentos[[#This Row],[Categoria]],tbCategorias[Categoria],0)),"")</f>
        <v>Estilo de vida</v>
      </c>
      <c r="I118" s="156">
        <f>IF(tbLancamentos[[#This Row],[Data]]="","",DATE(YEAR(tbLancamentos[[#This Row],[Data]]),MONTH(tbLancamentos[[#This Row],[Data]]),1))</f>
        <v>46113</v>
      </c>
    </row>
    <row r="119" spans="2:9" x14ac:dyDescent="0.35">
      <c r="B119" s="154">
        <v>46135</v>
      </c>
      <c r="C119" s="73" t="s">
        <v>79</v>
      </c>
      <c r="D119" s="73" t="s">
        <v>22</v>
      </c>
      <c r="E119" s="23">
        <v>91.45</v>
      </c>
      <c r="F119" s="73" t="s">
        <v>33</v>
      </c>
      <c r="G119" s="155" t="str">
        <f>IFERROR(INDEX(tbCategorias[Tipo],MATCH(tbLancamentos[[#This Row],[Categoria]],tbCategorias[Categoria],0)),"Categoria?")</f>
        <v>Despesa</v>
      </c>
      <c r="H119" s="155" t="str">
        <f>IFERROR(INDEX(tbCategorias[Grupo],MATCH(tbLancamentos[[#This Row],[Categoria]],tbCategorias[Categoria],0)),"")</f>
        <v>Estilo de vida</v>
      </c>
      <c r="I119" s="156">
        <f>IF(tbLancamentos[[#This Row],[Data]]="","",DATE(YEAR(tbLancamentos[[#This Row],[Data]]),MONTH(tbLancamentos[[#This Row],[Data]]),1))</f>
        <v>46113</v>
      </c>
    </row>
    <row r="120" spans="2:9" x14ac:dyDescent="0.35">
      <c r="B120" s="154">
        <v>46136</v>
      </c>
      <c r="C120" s="73" t="s">
        <v>48</v>
      </c>
      <c r="D120" s="73" t="s">
        <v>20</v>
      </c>
      <c r="E120" s="23">
        <v>33.119999999999997</v>
      </c>
      <c r="F120" s="73" t="s">
        <v>34</v>
      </c>
      <c r="G120" s="155" t="str">
        <f>IFERROR(INDEX(tbCategorias[Tipo],MATCH(tbLancamentos[[#This Row],[Categoria]],tbCategorias[Categoria],0)),"Categoria?")</f>
        <v>Despesa</v>
      </c>
      <c r="H120" s="155" t="str">
        <f>IFERROR(INDEX(tbCategorias[Grupo],MATCH(tbLancamentos[[#This Row],[Categoria]],tbCategorias[Categoria],0)),"")</f>
        <v>Estilo de vida</v>
      </c>
      <c r="I120" s="156">
        <f>IF(tbLancamentos[[#This Row],[Data]]="","",DATE(YEAR(tbLancamentos[[#This Row],[Data]]),MONTH(tbLancamentos[[#This Row],[Data]]),1))</f>
        <v>46113</v>
      </c>
    </row>
    <row r="121" spans="2:9" x14ac:dyDescent="0.35">
      <c r="B121" s="154">
        <v>46137</v>
      </c>
      <c r="C121" s="73" t="s">
        <v>76</v>
      </c>
      <c r="D121" s="73" t="s">
        <v>16</v>
      </c>
      <c r="E121" s="23">
        <v>319.74</v>
      </c>
      <c r="F121" s="73" t="s">
        <v>33</v>
      </c>
      <c r="G121" s="155" t="str">
        <f>IFERROR(INDEX(tbCategorias[Tipo],MATCH(tbLancamentos[[#This Row],[Categoria]],tbCategorias[Categoria],0)),"Categoria?")</f>
        <v>Despesa</v>
      </c>
      <c r="H121" s="155" t="str">
        <f>IFERROR(INDEX(tbCategorias[Grupo],MATCH(tbLancamentos[[#This Row],[Categoria]],tbCategorias[Categoria],0)),"")</f>
        <v>Essencial</v>
      </c>
      <c r="I121" s="156">
        <f>IF(tbLancamentos[[#This Row],[Data]]="","",DATE(YEAR(tbLancamentos[[#This Row],[Data]]),MONTH(tbLancamentos[[#This Row],[Data]]),1))</f>
        <v>46113</v>
      </c>
    </row>
    <row r="122" spans="2:9" x14ac:dyDescent="0.35">
      <c r="B122" s="154">
        <v>46137</v>
      </c>
      <c r="C122" s="73" t="s">
        <v>62</v>
      </c>
      <c r="D122" s="73" t="s">
        <v>17</v>
      </c>
      <c r="E122" s="23">
        <v>22.22</v>
      </c>
      <c r="F122" s="73" t="s">
        <v>34</v>
      </c>
      <c r="G122" s="155" t="str">
        <f>IFERROR(INDEX(tbCategorias[Tipo],MATCH(tbLancamentos[[#This Row],[Categoria]],tbCategorias[Categoria],0)),"Categoria?")</f>
        <v>Despesa</v>
      </c>
      <c r="H122" s="155" t="str">
        <f>IFERROR(INDEX(tbCategorias[Grupo],MATCH(tbLancamentos[[#This Row],[Categoria]],tbCategorias[Categoria],0)),"")</f>
        <v>Essencial</v>
      </c>
      <c r="I122" s="156">
        <f>IF(tbLancamentos[[#This Row],[Data]]="","",DATE(YEAR(tbLancamentos[[#This Row],[Data]]),MONTH(tbLancamentos[[#This Row],[Data]]),1))</f>
        <v>46113</v>
      </c>
    </row>
    <row r="123" spans="2:9" x14ac:dyDescent="0.35">
      <c r="B123" s="154">
        <v>46143</v>
      </c>
      <c r="C123" s="73" t="s">
        <v>62</v>
      </c>
      <c r="D123" s="73" t="s">
        <v>17</v>
      </c>
      <c r="E123" s="23">
        <v>27.2</v>
      </c>
      <c r="F123" s="73" t="s">
        <v>34</v>
      </c>
      <c r="G123" s="155" t="str">
        <f>IFERROR(INDEX(tbCategorias[Tipo],MATCH(tbLancamentos[[#This Row],[Categoria]],tbCategorias[Categoria],0)),"Categoria?")</f>
        <v>Despesa</v>
      </c>
      <c r="H123" s="155" t="str">
        <f>IFERROR(INDEX(tbCategorias[Grupo],MATCH(tbLancamentos[[#This Row],[Categoria]],tbCategorias[Categoria],0)),"")</f>
        <v>Essencial</v>
      </c>
      <c r="I123" s="156">
        <f>IF(tbLancamentos[[#This Row],[Data]]="","",DATE(YEAR(tbLancamentos[[#This Row],[Data]]),MONTH(tbLancamentos[[#This Row],[Data]]),1))</f>
        <v>46143</v>
      </c>
    </row>
    <row r="124" spans="2:9" x14ac:dyDescent="0.35">
      <c r="B124" s="154">
        <v>46145</v>
      </c>
      <c r="C124" s="73" t="s">
        <v>76</v>
      </c>
      <c r="D124" s="73" t="s">
        <v>16</v>
      </c>
      <c r="E124" s="23">
        <v>178.73</v>
      </c>
      <c r="F124" s="73" t="s">
        <v>33</v>
      </c>
      <c r="G124" s="155" t="str">
        <f>IFERROR(INDEX(tbCategorias[Tipo],MATCH(tbLancamentos[[#This Row],[Categoria]],tbCategorias[Categoria],0)),"Categoria?")</f>
        <v>Despesa</v>
      </c>
      <c r="H124" s="155" t="str">
        <f>IFERROR(INDEX(tbCategorias[Grupo],MATCH(tbLancamentos[[#This Row],[Categoria]],tbCategorias[Categoria],0)),"")</f>
        <v>Essencial</v>
      </c>
      <c r="I124" s="156">
        <f>IF(tbLancamentos[[#This Row],[Data]]="","",DATE(YEAR(tbLancamentos[[#This Row],[Data]]),MONTH(tbLancamentos[[#This Row],[Data]]),1))</f>
        <v>46143</v>
      </c>
    </row>
    <row r="125" spans="2:9" x14ac:dyDescent="0.35">
      <c r="B125" s="154">
        <v>46147</v>
      </c>
      <c r="C125" s="73" t="s">
        <v>77</v>
      </c>
      <c r="D125" s="73" t="s">
        <v>24</v>
      </c>
      <c r="E125" s="23">
        <v>294.89</v>
      </c>
      <c r="F125" s="73" t="s">
        <v>34</v>
      </c>
      <c r="G125" s="155" t="str">
        <f>IFERROR(INDEX(tbCategorias[Tipo],MATCH(tbLancamentos[[#This Row],[Categoria]],tbCategorias[Categoria],0)),"Categoria?")</f>
        <v>Despesa</v>
      </c>
      <c r="H125" s="155" t="str">
        <f>IFERROR(INDEX(tbCategorias[Grupo],MATCH(tbLancamentos[[#This Row],[Categoria]],tbCategorias[Categoria],0)),"")</f>
        <v>Estilo de vida</v>
      </c>
      <c r="I125" s="156">
        <f>IF(tbLancamentos[[#This Row],[Data]]="","",DATE(YEAR(tbLancamentos[[#This Row],[Data]]),MONTH(tbLancamentos[[#This Row],[Data]]),1))</f>
        <v>46143</v>
      </c>
    </row>
    <row r="126" spans="2:9" x14ac:dyDescent="0.35">
      <c r="B126" s="154">
        <v>46147</v>
      </c>
      <c r="C126" s="73" t="s">
        <v>7</v>
      </c>
      <c r="D126" s="73" t="s">
        <v>7</v>
      </c>
      <c r="E126" s="23">
        <v>5800</v>
      </c>
      <c r="F126" s="73" t="s">
        <v>33</v>
      </c>
      <c r="G126" s="155" t="str">
        <f>IFERROR(INDEX(tbCategorias[Tipo],MATCH(tbLancamentos[[#This Row],[Categoria]],tbCategorias[Categoria],0)),"Categoria?")</f>
        <v>Receita</v>
      </c>
      <c r="H126" s="155" t="str">
        <f>IFERROR(INDEX(tbCategorias[Grupo],MATCH(tbLancamentos[[#This Row],[Categoria]],tbCategorias[Categoria],0)),"")</f>
        <v>Renda</v>
      </c>
      <c r="I126" s="156">
        <f>IF(tbLancamentos[[#This Row],[Data]]="","",DATE(YEAR(tbLancamentos[[#This Row],[Data]]),MONTH(tbLancamentos[[#This Row],[Data]]),1))</f>
        <v>46143</v>
      </c>
    </row>
    <row r="127" spans="2:9" x14ac:dyDescent="0.35">
      <c r="B127" s="154">
        <v>46148</v>
      </c>
      <c r="C127" s="73" t="s">
        <v>49</v>
      </c>
      <c r="D127" s="73" t="s">
        <v>17</v>
      </c>
      <c r="E127" s="23">
        <v>155.25</v>
      </c>
      <c r="F127" s="73" t="s">
        <v>34</v>
      </c>
      <c r="G127" s="155" t="str">
        <f>IFERROR(INDEX(tbCategorias[Tipo],MATCH(tbLancamentos[[#This Row],[Categoria]],tbCategorias[Categoria],0)),"Categoria?")</f>
        <v>Despesa</v>
      </c>
      <c r="H127" s="155" t="str">
        <f>IFERROR(INDEX(tbCategorias[Grupo],MATCH(tbLancamentos[[#This Row],[Categoria]],tbCategorias[Categoria],0)),"")</f>
        <v>Essencial</v>
      </c>
      <c r="I127" s="156">
        <f>IF(tbLancamentos[[#This Row],[Data]]="","",DATE(YEAR(tbLancamentos[[#This Row],[Data]]),MONTH(tbLancamentos[[#This Row],[Data]]),1))</f>
        <v>46143</v>
      </c>
    </row>
    <row r="128" spans="2:9" x14ac:dyDescent="0.35">
      <c r="B128" s="154">
        <v>46149</v>
      </c>
      <c r="C128" s="73" t="s">
        <v>50</v>
      </c>
      <c r="D128" s="73" t="s">
        <v>26</v>
      </c>
      <c r="E128" s="23">
        <v>600</v>
      </c>
      <c r="F128" s="73" t="s">
        <v>33</v>
      </c>
      <c r="G128" s="155" t="str">
        <f>IFERROR(INDEX(tbCategorias[Tipo],MATCH(tbLancamentos[[#This Row],[Categoria]],tbCategorias[Categoria],0)),"Categoria?")</f>
        <v>Investimento</v>
      </c>
      <c r="H128" s="155" t="str">
        <f>IFERROR(INDEX(tbCategorias[Grupo],MATCH(tbLancamentos[[#This Row],[Categoria]],tbCategorias[Categoria],0)),"")</f>
        <v>Investimento</v>
      </c>
      <c r="I128" s="156">
        <f>IF(tbLancamentos[[#This Row],[Data]]="","",DATE(YEAR(tbLancamentos[[#This Row],[Data]]),MONTH(tbLancamentos[[#This Row],[Data]]),1))</f>
        <v>46143</v>
      </c>
    </row>
    <row r="129" spans="2:9" x14ac:dyDescent="0.35">
      <c r="B129" s="154">
        <v>46150</v>
      </c>
      <c r="C129" s="73" t="s">
        <v>54</v>
      </c>
      <c r="D129" s="73" t="s">
        <v>18</v>
      </c>
      <c r="E129" s="23">
        <v>59.9</v>
      </c>
      <c r="F129" s="73" t="s">
        <v>36</v>
      </c>
      <c r="G129" s="155" t="str">
        <f>IFERROR(INDEX(tbCategorias[Tipo],MATCH(tbLancamentos[[#This Row],[Categoria]],tbCategorias[Categoria],0)),"Categoria?")</f>
        <v>Despesa</v>
      </c>
      <c r="H129" s="155" t="str">
        <f>IFERROR(INDEX(tbCategorias[Grupo],MATCH(tbLancamentos[[#This Row],[Categoria]],tbCategorias[Categoria],0)),"")</f>
        <v>Essencial</v>
      </c>
      <c r="I129" s="156">
        <f>IF(tbLancamentos[[#This Row],[Data]]="","",DATE(YEAR(tbLancamentos[[#This Row],[Data]]),MONTH(tbLancamentos[[#This Row],[Data]]),1))</f>
        <v>46143</v>
      </c>
    </row>
    <row r="130" spans="2:9" x14ac:dyDescent="0.35">
      <c r="B130" s="154">
        <v>46150</v>
      </c>
      <c r="C130" s="73" t="s">
        <v>61</v>
      </c>
      <c r="D130" s="73" t="s">
        <v>20</v>
      </c>
      <c r="E130" s="23">
        <v>60.32</v>
      </c>
      <c r="F130" s="73" t="s">
        <v>34</v>
      </c>
      <c r="G130" s="155" t="str">
        <f>IFERROR(INDEX(tbCategorias[Tipo],MATCH(tbLancamentos[[#This Row],[Categoria]],tbCategorias[Categoria],0)),"Categoria?")</f>
        <v>Despesa</v>
      </c>
      <c r="H130" s="155" t="str">
        <f>IFERROR(INDEX(tbCategorias[Grupo],MATCH(tbLancamentos[[#This Row],[Categoria]],tbCategorias[Categoria],0)),"")</f>
        <v>Estilo de vida</v>
      </c>
      <c r="I130" s="156">
        <f>IF(tbLancamentos[[#This Row],[Data]]="","",DATE(YEAR(tbLancamentos[[#This Row],[Data]]),MONTH(tbLancamentos[[#This Row],[Data]]),1))</f>
        <v>46143</v>
      </c>
    </row>
    <row r="131" spans="2:9" x14ac:dyDescent="0.35">
      <c r="B131" s="154">
        <v>46150</v>
      </c>
      <c r="C131" s="73" t="s">
        <v>52</v>
      </c>
      <c r="D131" s="73" t="s">
        <v>18</v>
      </c>
      <c r="E131" s="23">
        <v>99.9</v>
      </c>
      <c r="F131" s="73" t="s">
        <v>34</v>
      </c>
      <c r="G131" s="155" t="str">
        <f>IFERROR(INDEX(tbCategorias[Tipo],MATCH(tbLancamentos[[#This Row],[Categoria]],tbCategorias[Categoria],0)),"Categoria?")</f>
        <v>Despesa</v>
      </c>
      <c r="H131" s="155" t="str">
        <f>IFERROR(INDEX(tbCategorias[Grupo],MATCH(tbLancamentos[[#This Row],[Categoria]],tbCategorias[Categoria],0)),"")</f>
        <v>Essencial</v>
      </c>
      <c r="I131" s="156">
        <f>IF(tbLancamentos[[#This Row],[Data]]="","",DATE(YEAR(tbLancamentos[[#This Row],[Data]]),MONTH(tbLancamentos[[#This Row],[Data]]),1))</f>
        <v>46143</v>
      </c>
    </row>
    <row r="132" spans="2:9" x14ac:dyDescent="0.35">
      <c r="B132" s="154">
        <v>46152</v>
      </c>
      <c r="C132" s="73" t="s">
        <v>55</v>
      </c>
      <c r="D132" s="73" t="s">
        <v>12</v>
      </c>
      <c r="E132" s="23">
        <v>1200</v>
      </c>
      <c r="F132" s="73" t="s">
        <v>36</v>
      </c>
      <c r="G132" s="155" t="str">
        <f>IFERROR(INDEX(tbCategorias[Tipo],MATCH(tbLancamentos[[#This Row],[Categoria]],tbCategorias[Categoria],0)),"Categoria?")</f>
        <v>Despesa</v>
      </c>
      <c r="H132" s="155" t="str">
        <f>IFERROR(INDEX(tbCategorias[Grupo],MATCH(tbLancamentos[[#This Row],[Categoria]],tbCategorias[Categoria],0)),"")</f>
        <v>Essencial</v>
      </c>
      <c r="I132" s="156">
        <f>IF(tbLancamentos[[#This Row],[Data]]="","",DATE(YEAR(tbLancamentos[[#This Row],[Data]]),MONTH(tbLancamentos[[#This Row],[Data]]),1))</f>
        <v>46143</v>
      </c>
    </row>
    <row r="133" spans="2:9" x14ac:dyDescent="0.35">
      <c r="B133" s="154">
        <v>46153</v>
      </c>
      <c r="C133" s="73" t="s">
        <v>76</v>
      </c>
      <c r="D133" s="73" t="s">
        <v>16</v>
      </c>
      <c r="E133" s="23">
        <v>113.63</v>
      </c>
      <c r="F133" s="73" t="s">
        <v>34</v>
      </c>
      <c r="G133" s="155" t="str">
        <f>IFERROR(INDEX(tbCategorias[Tipo],MATCH(tbLancamentos[[#This Row],[Categoria]],tbCategorias[Categoria],0)),"Categoria?")</f>
        <v>Despesa</v>
      </c>
      <c r="H133" s="155" t="str">
        <f>IFERROR(INDEX(tbCategorias[Grupo],MATCH(tbLancamentos[[#This Row],[Categoria]],tbCategorias[Categoria],0)),"")</f>
        <v>Essencial</v>
      </c>
      <c r="I133" s="156">
        <f>IF(tbLancamentos[[#This Row],[Data]]="","",DATE(YEAR(tbLancamentos[[#This Row],[Data]]),MONTH(tbLancamentos[[#This Row],[Data]]),1))</f>
        <v>46143</v>
      </c>
    </row>
    <row r="134" spans="2:9" x14ac:dyDescent="0.35">
      <c r="B134" s="154">
        <v>46154</v>
      </c>
      <c r="C134" s="73" t="s">
        <v>57</v>
      </c>
      <c r="D134" s="73" t="s">
        <v>15</v>
      </c>
      <c r="E134" s="23">
        <v>225.61</v>
      </c>
      <c r="F134" s="73" t="s">
        <v>36</v>
      </c>
      <c r="G134" s="155" t="str">
        <f>IFERROR(INDEX(tbCategorias[Tipo],MATCH(tbLancamentos[[#This Row],[Categoria]],tbCategorias[Categoria],0)),"Categoria?")</f>
        <v>Despesa</v>
      </c>
      <c r="H134" s="155" t="str">
        <f>IFERROR(INDEX(tbCategorias[Grupo],MATCH(tbLancamentos[[#This Row],[Categoria]],tbCategorias[Categoria],0)),"")</f>
        <v>Essencial</v>
      </c>
      <c r="I134" s="156">
        <f>IF(tbLancamentos[[#This Row],[Data]]="","",DATE(YEAR(tbLancamentos[[#This Row],[Data]]),MONTH(tbLancamentos[[#This Row],[Data]]),1))</f>
        <v>46143</v>
      </c>
    </row>
    <row r="135" spans="2:9" x14ac:dyDescent="0.35">
      <c r="B135" s="154">
        <v>46156</v>
      </c>
      <c r="C135" s="73" t="s">
        <v>72</v>
      </c>
      <c r="D135" s="73" t="s">
        <v>20</v>
      </c>
      <c r="E135" s="23">
        <v>59.64</v>
      </c>
      <c r="F135" s="73" t="s">
        <v>34</v>
      </c>
      <c r="G135" s="155" t="str">
        <f>IFERROR(INDEX(tbCategorias[Tipo],MATCH(tbLancamentos[[#This Row],[Categoria]],tbCategorias[Categoria],0)),"Categoria?")</f>
        <v>Despesa</v>
      </c>
      <c r="H135" s="155" t="str">
        <f>IFERROR(INDEX(tbCategorias[Grupo],MATCH(tbLancamentos[[#This Row],[Categoria]],tbCategorias[Categoria],0)),"")</f>
        <v>Estilo de vida</v>
      </c>
      <c r="I135" s="156">
        <f>IF(tbLancamentos[[#This Row],[Data]]="","",DATE(YEAR(tbLancamentos[[#This Row],[Data]]),MONTH(tbLancamentos[[#This Row],[Data]]),1))</f>
        <v>46143</v>
      </c>
    </row>
    <row r="136" spans="2:9" x14ac:dyDescent="0.35">
      <c r="B136" s="154">
        <v>46156</v>
      </c>
      <c r="C136" s="73" t="s">
        <v>59</v>
      </c>
      <c r="D136" s="73" t="s">
        <v>23</v>
      </c>
      <c r="E136" s="23">
        <v>44.9</v>
      </c>
      <c r="F136" s="73" t="s">
        <v>34</v>
      </c>
      <c r="G136" s="155" t="str">
        <f>IFERROR(INDEX(tbCategorias[Tipo],MATCH(tbLancamentos[[#This Row],[Categoria]],tbCategorias[Categoria],0)),"Categoria?")</f>
        <v>Despesa</v>
      </c>
      <c r="H136" s="155" t="str">
        <f>IFERROR(INDEX(tbCategorias[Grupo],MATCH(tbLancamentos[[#This Row],[Categoria]],tbCategorias[Categoria],0)),"")</f>
        <v>Estilo de vida</v>
      </c>
      <c r="I136" s="156">
        <f>IF(tbLancamentos[[#This Row],[Data]]="","",DATE(YEAR(tbLancamentos[[#This Row],[Data]]),MONTH(tbLancamentos[[#This Row],[Data]]),1))</f>
        <v>46143</v>
      </c>
    </row>
    <row r="137" spans="2:9" x14ac:dyDescent="0.35">
      <c r="B137" s="154">
        <v>46156</v>
      </c>
      <c r="C137" s="73" t="s">
        <v>60</v>
      </c>
      <c r="D137" s="73" t="s">
        <v>23</v>
      </c>
      <c r="E137" s="23">
        <v>21.9</v>
      </c>
      <c r="F137" s="73" t="s">
        <v>34</v>
      </c>
      <c r="G137" s="155" t="str">
        <f>IFERROR(INDEX(tbCategorias[Tipo],MATCH(tbLancamentos[[#This Row],[Categoria]],tbCategorias[Categoria],0)),"Categoria?")</f>
        <v>Despesa</v>
      </c>
      <c r="H137" s="155" t="str">
        <f>IFERROR(INDEX(tbCategorias[Grupo],MATCH(tbLancamentos[[#This Row],[Categoria]],tbCategorias[Categoria],0)),"")</f>
        <v>Estilo de vida</v>
      </c>
      <c r="I137" s="156">
        <f>IF(tbLancamentos[[#This Row],[Data]]="","",DATE(YEAR(tbLancamentos[[#This Row],[Data]]),MONTH(tbLancamentos[[#This Row],[Data]]),1))</f>
        <v>46143</v>
      </c>
    </row>
    <row r="138" spans="2:9" x14ac:dyDescent="0.35">
      <c r="B138" s="154">
        <v>46157</v>
      </c>
      <c r="C138" s="73" t="s">
        <v>63</v>
      </c>
      <c r="D138" s="73" t="s">
        <v>15</v>
      </c>
      <c r="E138" s="23">
        <v>67.36</v>
      </c>
      <c r="F138" s="73" t="s">
        <v>36</v>
      </c>
      <c r="G138" s="155" t="str">
        <f>IFERROR(INDEX(tbCategorias[Tipo],MATCH(tbLancamentos[[#This Row],[Categoria]],tbCategorias[Categoria],0)),"Categoria?")</f>
        <v>Despesa</v>
      </c>
      <c r="H138" s="155" t="str">
        <f>IFERROR(INDEX(tbCategorias[Grupo],MATCH(tbLancamentos[[#This Row],[Categoria]],tbCategorias[Categoria],0)),"")</f>
        <v>Essencial</v>
      </c>
      <c r="I138" s="156">
        <f>IF(tbLancamentos[[#This Row],[Data]]="","",DATE(YEAR(tbLancamentos[[#This Row],[Data]]),MONTH(tbLancamentos[[#This Row],[Data]]),1))</f>
        <v>46143</v>
      </c>
    </row>
    <row r="139" spans="2:9" x14ac:dyDescent="0.35">
      <c r="B139" s="154">
        <v>46157</v>
      </c>
      <c r="C139" s="73" t="s">
        <v>79</v>
      </c>
      <c r="D139" s="73" t="s">
        <v>22</v>
      </c>
      <c r="E139" s="23">
        <v>61.76</v>
      </c>
      <c r="F139" s="73" t="s">
        <v>34</v>
      </c>
      <c r="G139" s="155" t="str">
        <f>IFERROR(INDEX(tbCategorias[Tipo],MATCH(tbLancamentos[[#This Row],[Categoria]],tbCategorias[Categoria],0)),"Categoria?")</f>
        <v>Despesa</v>
      </c>
      <c r="H139" s="155" t="str">
        <f>IFERROR(INDEX(tbCategorias[Grupo],MATCH(tbLancamentos[[#This Row],[Categoria]],tbCategorias[Categoria],0)),"")</f>
        <v>Estilo de vida</v>
      </c>
      <c r="I139" s="156">
        <f>IF(tbLancamentos[[#This Row],[Data]]="","",DATE(YEAR(tbLancamentos[[#This Row],[Data]]),MONTH(tbLancamentos[[#This Row],[Data]]),1))</f>
        <v>46143</v>
      </c>
    </row>
    <row r="140" spans="2:9" x14ac:dyDescent="0.35">
      <c r="B140" s="154">
        <v>46158</v>
      </c>
      <c r="C140" s="73" t="s">
        <v>53</v>
      </c>
      <c r="D140" s="73" t="s">
        <v>20</v>
      </c>
      <c r="E140" s="23">
        <v>83.71</v>
      </c>
      <c r="F140" s="73" t="s">
        <v>34</v>
      </c>
      <c r="G140" s="155" t="str">
        <f>IFERROR(INDEX(tbCategorias[Tipo],MATCH(tbLancamentos[[#This Row],[Categoria]],tbCategorias[Categoria],0)),"Categoria?")</f>
        <v>Despesa</v>
      </c>
      <c r="H140" s="155" t="str">
        <f>IFERROR(INDEX(tbCategorias[Grupo],MATCH(tbLancamentos[[#This Row],[Categoria]],tbCategorias[Categoria],0)),"")</f>
        <v>Estilo de vida</v>
      </c>
      <c r="I140" s="156">
        <f>IF(tbLancamentos[[#This Row],[Data]]="","",DATE(YEAR(tbLancamentos[[#This Row],[Data]]),MONTH(tbLancamentos[[#This Row],[Data]]),1))</f>
        <v>46143</v>
      </c>
    </row>
    <row r="141" spans="2:9" x14ac:dyDescent="0.35">
      <c r="B141" s="154">
        <v>46159</v>
      </c>
      <c r="C141" s="73" t="s">
        <v>62</v>
      </c>
      <c r="D141" s="73" t="s">
        <v>17</v>
      </c>
      <c r="E141" s="23">
        <v>19.149999999999999</v>
      </c>
      <c r="F141" s="73" t="s">
        <v>34</v>
      </c>
      <c r="G141" s="155" t="str">
        <f>IFERROR(INDEX(tbCategorias[Tipo],MATCH(tbLancamentos[[#This Row],[Categoria]],tbCategorias[Categoria],0)),"Categoria?")</f>
        <v>Despesa</v>
      </c>
      <c r="H141" s="155" t="str">
        <f>IFERROR(INDEX(tbCategorias[Grupo],MATCH(tbLancamentos[[#This Row],[Categoria]],tbCategorias[Categoria],0)),"")</f>
        <v>Essencial</v>
      </c>
      <c r="I141" s="156">
        <f>IF(tbLancamentos[[#This Row],[Data]]="","",DATE(YEAR(tbLancamentos[[#This Row],[Data]]),MONTH(tbLancamentos[[#This Row],[Data]]),1))</f>
        <v>46143</v>
      </c>
    </row>
    <row r="142" spans="2:9" x14ac:dyDescent="0.35">
      <c r="B142" s="154">
        <v>46159</v>
      </c>
      <c r="C142" s="73" t="s">
        <v>48</v>
      </c>
      <c r="D142" s="73" t="s">
        <v>20</v>
      </c>
      <c r="E142" s="23">
        <v>40.5</v>
      </c>
      <c r="F142" s="73" t="s">
        <v>33</v>
      </c>
      <c r="G142" s="155" t="str">
        <f>IFERROR(INDEX(tbCategorias[Tipo],MATCH(tbLancamentos[[#This Row],[Categoria]],tbCategorias[Categoria],0)),"Categoria?")</f>
        <v>Despesa</v>
      </c>
      <c r="H142" s="155" t="str">
        <f>IFERROR(INDEX(tbCategorias[Grupo],MATCH(tbLancamentos[[#This Row],[Categoria]],tbCategorias[Categoria],0)),"")</f>
        <v>Estilo de vida</v>
      </c>
      <c r="I142" s="156">
        <f>IF(tbLancamentos[[#This Row],[Data]]="","",DATE(YEAR(tbLancamentos[[#This Row],[Data]]),MONTH(tbLancamentos[[#This Row],[Data]]),1))</f>
        <v>46143</v>
      </c>
    </row>
    <row r="143" spans="2:9" x14ac:dyDescent="0.35">
      <c r="B143" s="154">
        <v>46159</v>
      </c>
      <c r="C143" s="73" t="s">
        <v>64</v>
      </c>
      <c r="D143" s="73" t="s">
        <v>22</v>
      </c>
      <c r="E143" s="23">
        <v>172.27</v>
      </c>
      <c r="F143" s="73" t="s">
        <v>34</v>
      </c>
      <c r="G143" s="155" t="str">
        <f>IFERROR(INDEX(tbCategorias[Tipo],MATCH(tbLancamentos[[#This Row],[Categoria]],tbCategorias[Categoria],0)),"Categoria?")</f>
        <v>Despesa</v>
      </c>
      <c r="H143" s="155" t="str">
        <f>IFERROR(INDEX(tbCategorias[Grupo],MATCH(tbLancamentos[[#This Row],[Categoria]],tbCategorias[Categoria],0)),"")</f>
        <v>Estilo de vida</v>
      </c>
      <c r="I143" s="156">
        <f>IF(tbLancamentos[[#This Row],[Data]]="","",DATE(YEAR(tbLancamentos[[#This Row],[Data]]),MONTH(tbLancamentos[[#This Row],[Data]]),1))</f>
        <v>46143</v>
      </c>
    </row>
    <row r="144" spans="2:9" x14ac:dyDescent="0.35">
      <c r="B144" s="154">
        <v>46160</v>
      </c>
      <c r="C144" s="73" t="s">
        <v>65</v>
      </c>
      <c r="D144" s="73" t="s">
        <v>15</v>
      </c>
      <c r="E144" s="23">
        <v>99.9</v>
      </c>
      <c r="F144" s="73" t="s">
        <v>35</v>
      </c>
      <c r="G144" s="155" t="str">
        <f>IFERROR(INDEX(tbCategorias[Tipo],MATCH(tbLancamentos[[#This Row],[Categoria]],tbCategorias[Categoria],0)),"Categoria?")</f>
        <v>Despesa</v>
      </c>
      <c r="H144" s="155" t="str">
        <f>IFERROR(INDEX(tbCategorias[Grupo],MATCH(tbLancamentos[[#This Row],[Categoria]],tbCategorias[Categoria],0)),"")</f>
        <v>Essencial</v>
      </c>
      <c r="I144" s="156">
        <f>IF(tbLancamentos[[#This Row],[Data]]="","",DATE(YEAR(tbLancamentos[[#This Row],[Data]]),MONTH(tbLancamentos[[#This Row],[Data]]),1))</f>
        <v>46143</v>
      </c>
    </row>
    <row r="145" spans="2:9" x14ac:dyDescent="0.35">
      <c r="B145" s="154">
        <v>46160</v>
      </c>
      <c r="C145" s="73" t="s">
        <v>46</v>
      </c>
      <c r="D145" s="73" t="s">
        <v>16</v>
      </c>
      <c r="E145" s="23">
        <v>305.98</v>
      </c>
      <c r="F145" s="73" t="s">
        <v>35</v>
      </c>
      <c r="G145" s="155" t="str">
        <f>IFERROR(INDEX(tbCategorias[Tipo],MATCH(tbLancamentos[[#This Row],[Categoria]],tbCategorias[Categoria],0)),"Categoria?")</f>
        <v>Despesa</v>
      </c>
      <c r="H145" s="155" t="str">
        <f>IFERROR(INDEX(tbCategorias[Grupo],MATCH(tbLancamentos[[#This Row],[Categoria]],tbCategorias[Categoria],0)),"")</f>
        <v>Essencial</v>
      </c>
      <c r="I145" s="156">
        <f>IF(tbLancamentos[[#This Row],[Data]]="","",DATE(YEAR(tbLancamentos[[#This Row],[Data]]),MONTH(tbLancamentos[[#This Row],[Data]]),1))</f>
        <v>46143</v>
      </c>
    </row>
    <row r="146" spans="2:9" x14ac:dyDescent="0.35">
      <c r="B146" s="154">
        <v>46161</v>
      </c>
      <c r="C146" s="73" t="s">
        <v>49</v>
      </c>
      <c r="D146" s="73" t="s">
        <v>17</v>
      </c>
      <c r="E146" s="23">
        <v>140.18</v>
      </c>
      <c r="F146" s="73" t="s">
        <v>34</v>
      </c>
      <c r="G146" s="155" t="str">
        <f>IFERROR(INDEX(tbCategorias[Tipo],MATCH(tbLancamentos[[#This Row],[Categoria]],tbCategorias[Categoria],0)),"Categoria?")</f>
        <v>Despesa</v>
      </c>
      <c r="H146" s="155" t="str">
        <f>IFERROR(INDEX(tbCategorias[Grupo],MATCH(tbLancamentos[[#This Row],[Categoria]],tbCategorias[Categoria],0)),"")</f>
        <v>Essencial</v>
      </c>
      <c r="I146" s="156">
        <f>IF(tbLancamentos[[#This Row],[Data]]="","",DATE(YEAR(tbLancamentos[[#This Row],[Data]]),MONTH(tbLancamentos[[#This Row],[Data]]),1))</f>
        <v>46143</v>
      </c>
    </row>
    <row r="147" spans="2:9" x14ac:dyDescent="0.35">
      <c r="B147" s="154">
        <v>46161</v>
      </c>
      <c r="C147" s="73" t="s">
        <v>81</v>
      </c>
      <c r="D147" s="73" t="s">
        <v>26</v>
      </c>
      <c r="E147" s="23">
        <v>326.39</v>
      </c>
      <c r="F147" s="73" t="s">
        <v>33</v>
      </c>
      <c r="G147" s="155" t="str">
        <f>IFERROR(INDEX(tbCategorias[Tipo],MATCH(tbLancamentos[[#This Row],[Categoria]],tbCategorias[Categoria],0)),"Categoria?")</f>
        <v>Investimento</v>
      </c>
      <c r="H147" s="155" t="str">
        <f>IFERROR(INDEX(tbCategorias[Grupo],MATCH(tbLancamentos[[#This Row],[Categoria]],tbCategorias[Categoria],0)),"")</f>
        <v>Investimento</v>
      </c>
      <c r="I147" s="156">
        <f>IF(tbLancamentos[[#This Row],[Data]]="","",DATE(YEAR(tbLancamentos[[#This Row],[Data]]),MONTH(tbLancamentos[[#This Row],[Data]]),1))</f>
        <v>46143</v>
      </c>
    </row>
    <row r="148" spans="2:9" x14ac:dyDescent="0.35">
      <c r="B148" s="154">
        <v>46162</v>
      </c>
      <c r="C148" s="73" t="s">
        <v>67</v>
      </c>
      <c r="D148" s="73" t="s">
        <v>15</v>
      </c>
      <c r="E148" s="23">
        <v>49.9</v>
      </c>
      <c r="F148" s="73" t="s">
        <v>34</v>
      </c>
      <c r="G148" s="155" t="str">
        <f>IFERROR(INDEX(tbCategorias[Tipo],MATCH(tbLancamentos[[#This Row],[Categoria]],tbCategorias[Categoria],0)),"Categoria?")</f>
        <v>Despesa</v>
      </c>
      <c r="H148" s="155" t="str">
        <f>IFERROR(INDEX(tbCategorias[Grupo],MATCH(tbLancamentos[[#This Row],[Categoria]],tbCategorias[Categoria],0)),"")</f>
        <v>Essencial</v>
      </c>
      <c r="I148" s="156">
        <f>IF(tbLancamentos[[#This Row],[Data]]="","",DATE(YEAR(tbLancamentos[[#This Row],[Data]]),MONTH(tbLancamentos[[#This Row],[Data]]),1))</f>
        <v>46143</v>
      </c>
    </row>
    <row r="149" spans="2:9" x14ac:dyDescent="0.35">
      <c r="B149" s="154">
        <v>46162</v>
      </c>
      <c r="C149" s="73" t="s">
        <v>66</v>
      </c>
      <c r="D149" s="73" t="s">
        <v>19</v>
      </c>
      <c r="E149" s="23">
        <v>79.900000000000006</v>
      </c>
      <c r="F149" s="73" t="s">
        <v>34</v>
      </c>
      <c r="G149" s="155" t="str">
        <f>IFERROR(INDEX(tbCategorias[Tipo],MATCH(tbLancamentos[[#This Row],[Categoria]],tbCategorias[Categoria],0)),"Categoria?")</f>
        <v>Despesa</v>
      </c>
      <c r="H149" s="155" t="str">
        <f>IFERROR(INDEX(tbCategorias[Grupo],MATCH(tbLancamentos[[#This Row],[Categoria]],tbCategorias[Categoria],0)),"")</f>
        <v>Essencial</v>
      </c>
      <c r="I149" s="156">
        <f>IF(tbLancamentos[[#This Row],[Data]]="","",DATE(YEAR(tbLancamentos[[#This Row],[Data]]),MONTH(tbLancamentos[[#This Row],[Data]]),1))</f>
        <v>46143</v>
      </c>
    </row>
    <row r="150" spans="2:9" x14ac:dyDescent="0.35">
      <c r="B150" s="154">
        <v>46167</v>
      </c>
      <c r="C150" s="73" t="s">
        <v>56</v>
      </c>
      <c r="D150" s="73" t="s">
        <v>16</v>
      </c>
      <c r="E150" s="23">
        <v>326.63</v>
      </c>
      <c r="F150" s="73" t="s">
        <v>34</v>
      </c>
      <c r="G150" s="155" t="str">
        <f>IFERROR(INDEX(tbCategorias[Tipo],MATCH(tbLancamentos[[#This Row],[Categoria]],tbCategorias[Categoria],0)),"Categoria?")</f>
        <v>Despesa</v>
      </c>
      <c r="H150" s="155" t="str">
        <f>IFERROR(INDEX(tbCategorias[Grupo],MATCH(tbLancamentos[[#This Row],[Categoria]],tbCategorias[Categoria],0)),"")</f>
        <v>Essencial</v>
      </c>
      <c r="I150" s="156">
        <f>IF(tbLancamentos[[#This Row],[Data]]="","",DATE(YEAR(tbLancamentos[[#This Row],[Data]]),MONTH(tbLancamentos[[#This Row],[Data]]),1))</f>
        <v>46143</v>
      </c>
    </row>
    <row r="151" spans="2:9" x14ac:dyDescent="0.35">
      <c r="B151" s="154">
        <v>46175</v>
      </c>
      <c r="C151" s="73" t="s">
        <v>64</v>
      </c>
      <c r="D151" s="73" t="s">
        <v>22</v>
      </c>
      <c r="E151" s="23">
        <v>166.66</v>
      </c>
      <c r="F151" s="73" t="s">
        <v>33</v>
      </c>
      <c r="G151" s="155" t="str">
        <f>IFERROR(INDEX(tbCategorias[Tipo],MATCH(tbLancamentos[[#This Row],[Categoria]],tbCategorias[Categoria],0)),"Categoria?")</f>
        <v>Despesa</v>
      </c>
      <c r="H151" s="155" t="str">
        <f>IFERROR(INDEX(tbCategorias[Grupo],MATCH(tbLancamentos[[#This Row],[Categoria]],tbCategorias[Categoria],0)),"")</f>
        <v>Estilo de vida</v>
      </c>
      <c r="I151" s="156">
        <f>IF(tbLancamentos[[#This Row],[Data]]="","",DATE(YEAR(tbLancamentos[[#This Row],[Data]]),MONTH(tbLancamentos[[#This Row],[Data]]),1))</f>
        <v>46174</v>
      </c>
    </row>
    <row r="152" spans="2:9" x14ac:dyDescent="0.35">
      <c r="B152" s="154">
        <v>46177</v>
      </c>
      <c r="C152" s="73" t="s">
        <v>80</v>
      </c>
      <c r="D152" s="73" t="s">
        <v>24</v>
      </c>
      <c r="E152" s="23">
        <v>99.4</v>
      </c>
      <c r="F152" s="73" t="s">
        <v>34</v>
      </c>
      <c r="G152" s="155" t="str">
        <f>IFERROR(INDEX(tbCategorias[Tipo],MATCH(tbLancamentos[[#This Row],[Categoria]],tbCategorias[Categoria],0)),"Categoria?")</f>
        <v>Despesa</v>
      </c>
      <c r="H152" s="155" t="str">
        <f>IFERROR(INDEX(tbCategorias[Grupo],MATCH(tbLancamentos[[#This Row],[Categoria]],tbCategorias[Categoria],0)),"")</f>
        <v>Estilo de vida</v>
      </c>
      <c r="I152" s="156">
        <f>IF(tbLancamentos[[#This Row],[Data]]="","",DATE(YEAR(tbLancamentos[[#This Row],[Data]]),MONTH(tbLancamentos[[#This Row],[Data]]),1))</f>
        <v>46174</v>
      </c>
    </row>
    <row r="153" spans="2:9" x14ac:dyDescent="0.35">
      <c r="B153" s="154">
        <v>46177</v>
      </c>
      <c r="C153" s="73" t="s">
        <v>76</v>
      </c>
      <c r="D153" s="73" t="s">
        <v>16</v>
      </c>
      <c r="E153" s="23">
        <v>263.27999999999997</v>
      </c>
      <c r="F153" s="73" t="s">
        <v>34</v>
      </c>
      <c r="G153" s="155" t="str">
        <f>IFERROR(INDEX(tbCategorias[Tipo],MATCH(tbLancamentos[[#This Row],[Categoria]],tbCategorias[Categoria],0)),"Categoria?")</f>
        <v>Despesa</v>
      </c>
      <c r="H153" s="155" t="str">
        <f>IFERROR(INDEX(tbCategorias[Grupo],MATCH(tbLancamentos[[#This Row],[Categoria]],tbCategorias[Categoria],0)),"")</f>
        <v>Essencial</v>
      </c>
      <c r="I153" s="156">
        <f>IF(tbLancamentos[[#This Row],[Data]]="","",DATE(YEAR(tbLancamentos[[#This Row],[Data]]),MONTH(tbLancamentos[[#This Row],[Data]]),1))</f>
        <v>46174</v>
      </c>
    </row>
    <row r="154" spans="2:9" x14ac:dyDescent="0.35">
      <c r="B154" s="154">
        <v>46178</v>
      </c>
      <c r="C154" s="73" t="s">
        <v>62</v>
      </c>
      <c r="D154" s="73" t="s">
        <v>17</v>
      </c>
      <c r="E154" s="23">
        <v>33.19</v>
      </c>
      <c r="F154" s="73" t="s">
        <v>34</v>
      </c>
      <c r="G154" s="155" t="str">
        <f>IFERROR(INDEX(tbCategorias[Tipo],MATCH(tbLancamentos[[#This Row],[Categoria]],tbCategorias[Categoria],0)),"Categoria?")</f>
        <v>Despesa</v>
      </c>
      <c r="H154" s="155" t="str">
        <f>IFERROR(INDEX(tbCategorias[Grupo],MATCH(tbLancamentos[[#This Row],[Categoria]],tbCategorias[Categoria],0)),"")</f>
        <v>Essencial</v>
      </c>
      <c r="I154" s="156">
        <f>IF(tbLancamentos[[#This Row],[Data]]="","",DATE(YEAR(tbLancamentos[[#This Row],[Data]]),MONTH(tbLancamentos[[#This Row],[Data]]),1))</f>
        <v>46174</v>
      </c>
    </row>
    <row r="155" spans="2:9" x14ac:dyDescent="0.35">
      <c r="B155" s="154">
        <v>46178</v>
      </c>
      <c r="C155" s="73" t="s">
        <v>7</v>
      </c>
      <c r="D155" s="73" t="s">
        <v>7</v>
      </c>
      <c r="E155" s="23">
        <v>5800</v>
      </c>
      <c r="F155" s="73" t="s">
        <v>33</v>
      </c>
      <c r="G155" s="155" t="str">
        <f>IFERROR(INDEX(tbCategorias[Tipo],MATCH(tbLancamentos[[#This Row],[Categoria]],tbCategorias[Categoria],0)),"Categoria?")</f>
        <v>Receita</v>
      </c>
      <c r="H155" s="155" t="str">
        <f>IFERROR(INDEX(tbCategorias[Grupo],MATCH(tbLancamentos[[#This Row],[Categoria]],tbCategorias[Categoria],0)),"")</f>
        <v>Renda</v>
      </c>
      <c r="I155" s="156">
        <f>IF(tbLancamentos[[#This Row],[Data]]="","",DATE(YEAR(tbLancamentos[[#This Row],[Data]]),MONTH(tbLancamentos[[#This Row],[Data]]),1))</f>
        <v>46174</v>
      </c>
    </row>
    <row r="156" spans="2:9" x14ac:dyDescent="0.35">
      <c r="B156" s="154">
        <v>46179</v>
      </c>
      <c r="C156" s="73" t="s">
        <v>49</v>
      </c>
      <c r="D156" s="73" t="s">
        <v>17</v>
      </c>
      <c r="E156" s="23">
        <v>113.07</v>
      </c>
      <c r="F156" s="73" t="s">
        <v>34</v>
      </c>
      <c r="G156" s="155" t="str">
        <f>IFERROR(INDEX(tbCategorias[Tipo],MATCH(tbLancamentos[[#This Row],[Categoria]],tbCategorias[Categoria],0)),"Categoria?")</f>
        <v>Despesa</v>
      </c>
      <c r="H156" s="155" t="str">
        <f>IFERROR(INDEX(tbCategorias[Grupo],MATCH(tbLancamentos[[#This Row],[Categoria]],tbCategorias[Categoria],0)),"")</f>
        <v>Essencial</v>
      </c>
      <c r="I156" s="156">
        <f>IF(tbLancamentos[[#This Row],[Data]]="","",DATE(YEAR(tbLancamentos[[#This Row],[Data]]),MONTH(tbLancamentos[[#This Row],[Data]]),1))</f>
        <v>46174</v>
      </c>
    </row>
    <row r="157" spans="2:9" x14ac:dyDescent="0.35">
      <c r="B157" s="154">
        <v>46179</v>
      </c>
      <c r="C157" s="73" t="s">
        <v>61</v>
      </c>
      <c r="D157" s="73" t="s">
        <v>20</v>
      </c>
      <c r="E157" s="23">
        <v>109.23</v>
      </c>
      <c r="F157" s="73" t="s">
        <v>33</v>
      </c>
      <c r="G157" s="155" t="str">
        <f>IFERROR(INDEX(tbCategorias[Tipo],MATCH(tbLancamentos[[#This Row],[Categoria]],tbCategorias[Categoria],0)),"Categoria?")</f>
        <v>Despesa</v>
      </c>
      <c r="H157" s="155" t="str">
        <f>IFERROR(INDEX(tbCategorias[Grupo],MATCH(tbLancamentos[[#This Row],[Categoria]],tbCategorias[Categoria],0)),"")</f>
        <v>Estilo de vida</v>
      </c>
      <c r="I157" s="156">
        <f>IF(tbLancamentos[[#This Row],[Data]]="","",DATE(YEAR(tbLancamentos[[#This Row],[Data]]),MONTH(tbLancamentos[[#This Row],[Data]]),1))</f>
        <v>46174</v>
      </c>
    </row>
    <row r="158" spans="2:9" x14ac:dyDescent="0.35">
      <c r="B158" s="154">
        <v>46180</v>
      </c>
      <c r="C158" s="73" t="s">
        <v>50</v>
      </c>
      <c r="D158" s="73" t="s">
        <v>26</v>
      </c>
      <c r="E158" s="23">
        <v>600</v>
      </c>
      <c r="F158" s="73" t="s">
        <v>33</v>
      </c>
      <c r="G158" s="155" t="str">
        <f>IFERROR(INDEX(tbCategorias[Tipo],MATCH(tbLancamentos[[#This Row],[Categoria]],tbCategorias[Categoria],0)),"Categoria?")</f>
        <v>Investimento</v>
      </c>
      <c r="H158" s="155" t="str">
        <f>IFERROR(INDEX(tbCategorias[Grupo],MATCH(tbLancamentos[[#This Row],[Categoria]],tbCategorias[Categoria],0)),"")</f>
        <v>Investimento</v>
      </c>
      <c r="I158" s="156">
        <f>IF(tbLancamentos[[#This Row],[Data]]="","",DATE(YEAR(tbLancamentos[[#This Row],[Data]]),MONTH(tbLancamentos[[#This Row],[Data]]),1))</f>
        <v>46174</v>
      </c>
    </row>
    <row r="159" spans="2:9" x14ac:dyDescent="0.35">
      <c r="B159" s="154">
        <v>46181</v>
      </c>
      <c r="C159" s="73" t="s">
        <v>54</v>
      </c>
      <c r="D159" s="73" t="s">
        <v>18</v>
      </c>
      <c r="E159" s="23">
        <v>59.9</v>
      </c>
      <c r="F159" s="73" t="s">
        <v>36</v>
      </c>
      <c r="G159" s="155" t="str">
        <f>IFERROR(INDEX(tbCategorias[Tipo],MATCH(tbLancamentos[[#This Row],[Categoria]],tbCategorias[Categoria],0)),"Categoria?")</f>
        <v>Despesa</v>
      </c>
      <c r="H159" s="155" t="str">
        <f>IFERROR(INDEX(tbCategorias[Grupo],MATCH(tbLancamentos[[#This Row],[Categoria]],tbCategorias[Categoria],0)),"")</f>
        <v>Essencial</v>
      </c>
      <c r="I159" s="156">
        <f>IF(tbLancamentos[[#This Row],[Data]]="","",DATE(YEAR(tbLancamentos[[#This Row],[Data]]),MONTH(tbLancamentos[[#This Row],[Data]]),1))</f>
        <v>46174</v>
      </c>
    </row>
    <row r="160" spans="2:9" x14ac:dyDescent="0.35">
      <c r="B160" s="154">
        <v>46181</v>
      </c>
      <c r="C160" s="73" t="s">
        <v>52</v>
      </c>
      <c r="D160" s="73" t="s">
        <v>18</v>
      </c>
      <c r="E160" s="23">
        <v>99.9</v>
      </c>
      <c r="F160" s="73" t="s">
        <v>34</v>
      </c>
      <c r="G160" s="155" t="str">
        <f>IFERROR(INDEX(tbCategorias[Tipo],MATCH(tbLancamentos[[#This Row],[Categoria]],tbCategorias[Categoria],0)),"Categoria?")</f>
        <v>Despesa</v>
      </c>
      <c r="H160" s="155" t="str">
        <f>IFERROR(INDEX(tbCategorias[Grupo],MATCH(tbLancamentos[[#This Row],[Categoria]],tbCategorias[Categoria],0)),"")</f>
        <v>Essencial</v>
      </c>
      <c r="I160" s="156">
        <f>IF(tbLancamentos[[#This Row],[Data]]="","",DATE(YEAR(tbLancamentos[[#This Row],[Data]]),MONTH(tbLancamentos[[#This Row],[Data]]),1))</f>
        <v>46174</v>
      </c>
    </row>
    <row r="161" spans="2:9" x14ac:dyDescent="0.35">
      <c r="B161" s="154">
        <v>46183</v>
      </c>
      <c r="C161" s="73" t="s">
        <v>55</v>
      </c>
      <c r="D161" s="73" t="s">
        <v>12</v>
      </c>
      <c r="E161" s="23">
        <v>1200</v>
      </c>
      <c r="F161" s="73" t="s">
        <v>36</v>
      </c>
      <c r="G161" s="155" t="str">
        <f>IFERROR(INDEX(tbCategorias[Tipo],MATCH(tbLancamentos[[#This Row],[Categoria]],tbCategorias[Categoria],0)),"Categoria?")</f>
        <v>Despesa</v>
      </c>
      <c r="H161" s="155" t="str">
        <f>IFERROR(INDEX(tbCategorias[Grupo],MATCH(tbLancamentos[[#This Row],[Categoria]],tbCategorias[Categoria],0)),"")</f>
        <v>Essencial</v>
      </c>
      <c r="I161" s="156">
        <f>IF(tbLancamentos[[#This Row],[Data]]="","",DATE(YEAR(tbLancamentos[[#This Row],[Data]]),MONTH(tbLancamentos[[#This Row],[Data]]),1))</f>
        <v>46174</v>
      </c>
    </row>
    <row r="162" spans="2:9" x14ac:dyDescent="0.35">
      <c r="B162" s="154">
        <v>46183</v>
      </c>
      <c r="C162" s="73" t="s">
        <v>56</v>
      </c>
      <c r="D162" s="73" t="s">
        <v>16</v>
      </c>
      <c r="E162" s="23">
        <v>288.85000000000002</v>
      </c>
      <c r="F162" s="73" t="s">
        <v>33</v>
      </c>
      <c r="G162" s="155" t="str">
        <f>IFERROR(INDEX(tbCategorias[Tipo],MATCH(tbLancamentos[[#This Row],[Categoria]],tbCategorias[Categoria],0)),"Categoria?")</f>
        <v>Despesa</v>
      </c>
      <c r="H162" s="155" t="str">
        <f>IFERROR(INDEX(tbCategorias[Grupo],MATCH(tbLancamentos[[#This Row],[Categoria]],tbCategorias[Categoria],0)),"")</f>
        <v>Essencial</v>
      </c>
      <c r="I162" s="156">
        <f>IF(tbLancamentos[[#This Row],[Data]]="","",DATE(YEAR(tbLancamentos[[#This Row],[Data]]),MONTH(tbLancamentos[[#This Row],[Data]]),1))</f>
        <v>46174</v>
      </c>
    </row>
    <row r="163" spans="2:9" x14ac:dyDescent="0.35">
      <c r="B163" s="154">
        <v>46184</v>
      </c>
      <c r="C163" s="73" t="s">
        <v>48</v>
      </c>
      <c r="D163" s="73" t="s">
        <v>20</v>
      </c>
      <c r="E163" s="23">
        <v>45.33</v>
      </c>
      <c r="F163" s="73" t="s">
        <v>33</v>
      </c>
      <c r="G163" s="155" t="str">
        <f>IFERROR(INDEX(tbCategorias[Tipo],MATCH(tbLancamentos[[#This Row],[Categoria]],tbCategorias[Categoria],0)),"Categoria?")</f>
        <v>Despesa</v>
      </c>
      <c r="H163" s="155" t="str">
        <f>IFERROR(INDEX(tbCategorias[Grupo],MATCH(tbLancamentos[[#This Row],[Categoria]],tbCategorias[Categoria],0)),"")</f>
        <v>Estilo de vida</v>
      </c>
      <c r="I163" s="156">
        <f>IF(tbLancamentos[[#This Row],[Data]]="","",DATE(YEAR(tbLancamentos[[#This Row],[Data]]),MONTH(tbLancamentos[[#This Row],[Data]]),1))</f>
        <v>46174</v>
      </c>
    </row>
    <row r="164" spans="2:9" x14ac:dyDescent="0.35">
      <c r="B164" s="154">
        <v>46184</v>
      </c>
      <c r="C164" s="73" t="s">
        <v>62</v>
      </c>
      <c r="D164" s="73" t="s">
        <v>17</v>
      </c>
      <c r="E164" s="23">
        <v>18.05</v>
      </c>
      <c r="F164" s="73" t="s">
        <v>34</v>
      </c>
      <c r="G164" s="155" t="str">
        <f>IFERROR(INDEX(tbCategorias[Tipo],MATCH(tbLancamentos[[#This Row],[Categoria]],tbCategorias[Categoria],0)),"Categoria?")</f>
        <v>Despesa</v>
      </c>
      <c r="H164" s="155" t="str">
        <f>IFERROR(INDEX(tbCategorias[Grupo],MATCH(tbLancamentos[[#This Row],[Categoria]],tbCategorias[Categoria],0)),"")</f>
        <v>Essencial</v>
      </c>
      <c r="I164" s="156">
        <f>IF(tbLancamentos[[#This Row],[Data]]="","",DATE(YEAR(tbLancamentos[[#This Row],[Data]]),MONTH(tbLancamentos[[#This Row],[Data]]),1))</f>
        <v>46174</v>
      </c>
    </row>
    <row r="165" spans="2:9" x14ac:dyDescent="0.35">
      <c r="B165" s="154">
        <v>46184</v>
      </c>
      <c r="C165" s="73" t="s">
        <v>78</v>
      </c>
      <c r="D165" s="73" t="s">
        <v>10</v>
      </c>
      <c r="E165" s="23">
        <v>1109.83</v>
      </c>
      <c r="F165" s="73" t="s">
        <v>33</v>
      </c>
      <c r="G165" s="155" t="str">
        <f>IFERROR(INDEX(tbCategorias[Tipo],MATCH(tbLancamentos[[#This Row],[Categoria]],tbCategorias[Categoria],0)),"Categoria?")</f>
        <v>Receita</v>
      </c>
      <c r="H165" s="155" t="str">
        <f>IFERROR(INDEX(tbCategorias[Grupo],MATCH(tbLancamentos[[#This Row],[Categoria]],tbCategorias[Categoria],0)),"")</f>
        <v>Renda</v>
      </c>
      <c r="I165" s="156">
        <f>IF(tbLancamentos[[#This Row],[Data]]="","",DATE(YEAR(tbLancamentos[[#This Row],[Data]]),MONTH(tbLancamentos[[#This Row],[Data]]),1))</f>
        <v>46174</v>
      </c>
    </row>
    <row r="166" spans="2:9" x14ac:dyDescent="0.35">
      <c r="B166" s="154">
        <v>46185</v>
      </c>
      <c r="C166" s="73" t="s">
        <v>61</v>
      </c>
      <c r="D166" s="73" t="s">
        <v>20</v>
      </c>
      <c r="E166" s="23">
        <v>114.45</v>
      </c>
      <c r="F166" s="73" t="s">
        <v>33</v>
      </c>
      <c r="G166" s="155" t="str">
        <f>IFERROR(INDEX(tbCategorias[Tipo],MATCH(tbLancamentos[[#This Row],[Categoria]],tbCategorias[Categoria],0)),"Categoria?")</f>
        <v>Despesa</v>
      </c>
      <c r="H166" s="155" t="str">
        <f>IFERROR(INDEX(tbCategorias[Grupo],MATCH(tbLancamentos[[#This Row],[Categoria]],tbCategorias[Categoria],0)),"")</f>
        <v>Estilo de vida</v>
      </c>
      <c r="I166" s="156">
        <f>IF(tbLancamentos[[#This Row],[Data]]="","",DATE(YEAR(tbLancamentos[[#This Row],[Data]]),MONTH(tbLancamentos[[#This Row],[Data]]),1))</f>
        <v>46174</v>
      </c>
    </row>
    <row r="167" spans="2:9" x14ac:dyDescent="0.35">
      <c r="B167" s="154">
        <v>46185</v>
      </c>
      <c r="C167" s="73" t="s">
        <v>72</v>
      </c>
      <c r="D167" s="73" t="s">
        <v>20</v>
      </c>
      <c r="E167" s="23">
        <v>72.55</v>
      </c>
      <c r="F167" s="73" t="s">
        <v>33</v>
      </c>
      <c r="G167" s="155" t="str">
        <f>IFERROR(INDEX(tbCategorias[Tipo],MATCH(tbLancamentos[[#This Row],[Categoria]],tbCategorias[Categoria],0)),"Categoria?")</f>
        <v>Despesa</v>
      </c>
      <c r="H167" s="155" t="str">
        <f>IFERROR(INDEX(tbCategorias[Grupo],MATCH(tbLancamentos[[#This Row],[Categoria]],tbCategorias[Categoria],0)),"")</f>
        <v>Estilo de vida</v>
      </c>
      <c r="I167" s="156">
        <f>IF(tbLancamentos[[#This Row],[Data]]="","",DATE(YEAR(tbLancamentos[[#This Row],[Data]]),MONTH(tbLancamentos[[#This Row],[Data]]),1))</f>
        <v>46174</v>
      </c>
    </row>
    <row r="168" spans="2:9" x14ac:dyDescent="0.35">
      <c r="B168" s="154">
        <v>46185</v>
      </c>
      <c r="C168" s="73" t="s">
        <v>57</v>
      </c>
      <c r="D168" s="73" t="s">
        <v>15</v>
      </c>
      <c r="E168" s="23">
        <v>197.22</v>
      </c>
      <c r="F168" s="73" t="s">
        <v>36</v>
      </c>
      <c r="G168" s="155" t="str">
        <f>IFERROR(INDEX(tbCategorias[Tipo],MATCH(tbLancamentos[[#This Row],[Categoria]],tbCategorias[Categoria],0)),"Categoria?")</f>
        <v>Despesa</v>
      </c>
      <c r="H168" s="155" t="str">
        <f>IFERROR(INDEX(tbCategorias[Grupo],MATCH(tbLancamentos[[#This Row],[Categoria]],tbCategorias[Categoria],0)),"")</f>
        <v>Essencial</v>
      </c>
      <c r="I168" s="156">
        <f>IF(tbLancamentos[[#This Row],[Data]]="","",DATE(YEAR(tbLancamentos[[#This Row],[Data]]),MONTH(tbLancamentos[[#This Row],[Data]]),1))</f>
        <v>46174</v>
      </c>
    </row>
    <row r="169" spans="2:9" x14ac:dyDescent="0.35">
      <c r="B169" s="154">
        <v>46187</v>
      </c>
      <c r="C169" s="73" t="s">
        <v>59</v>
      </c>
      <c r="D169" s="73" t="s">
        <v>23</v>
      </c>
      <c r="E169" s="23">
        <v>44.9</v>
      </c>
      <c r="F169" s="73" t="s">
        <v>34</v>
      </c>
      <c r="G169" s="155" t="str">
        <f>IFERROR(INDEX(tbCategorias[Tipo],MATCH(tbLancamentos[[#This Row],[Categoria]],tbCategorias[Categoria],0)),"Categoria?")</f>
        <v>Despesa</v>
      </c>
      <c r="H169" s="155" t="str">
        <f>IFERROR(INDEX(tbCategorias[Grupo],MATCH(tbLancamentos[[#This Row],[Categoria]],tbCategorias[Categoria],0)),"")</f>
        <v>Estilo de vida</v>
      </c>
      <c r="I169" s="156">
        <f>IF(tbLancamentos[[#This Row],[Data]]="","",DATE(YEAR(tbLancamentos[[#This Row],[Data]]),MONTH(tbLancamentos[[#This Row],[Data]]),1))</f>
        <v>46174</v>
      </c>
    </row>
    <row r="170" spans="2:9" x14ac:dyDescent="0.35">
      <c r="B170" s="154">
        <v>46187</v>
      </c>
      <c r="C170" s="73" t="s">
        <v>60</v>
      </c>
      <c r="D170" s="73" t="s">
        <v>23</v>
      </c>
      <c r="E170" s="23">
        <v>21.9</v>
      </c>
      <c r="F170" s="73" t="s">
        <v>34</v>
      </c>
      <c r="G170" s="155" t="str">
        <f>IFERROR(INDEX(tbCategorias[Tipo],MATCH(tbLancamentos[[#This Row],[Categoria]],tbCategorias[Categoria],0)),"Categoria?")</f>
        <v>Despesa</v>
      </c>
      <c r="H170" s="155" t="str">
        <f>IFERROR(INDEX(tbCategorias[Grupo],MATCH(tbLancamentos[[#This Row],[Categoria]],tbCategorias[Categoria],0)),"")</f>
        <v>Estilo de vida</v>
      </c>
      <c r="I170" s="156">
        <f>IF(tbLancamentos[[#This Row],[Data]]="","",DATE(YEAR(tbLancamentos[[#This Row],[Data]]),MONTH(tbLancamentos[[#This Row],[Data]]),1))</f>
        <v>46174</v>
      </c>
    </row>
    <row r="171" spans="2:9" x14ac:dyDescent="0.35">
      <c r="B171" s="154">
        <v>46188</v>
      </c>
      <c r="C171" s="73" t="s">
        <v>63</v>
      </c>
      <c r="D171" s="73" t="s">
        <v>15</v>
      </c>
      <c r="E171" s="23">
        <v>77.34</v>
      </c>
      <c r="F171" s="73" t="s">
        <v>36</v>
      </c>
      <c r="G171" s="155" t="str">
        <f>IFERROR(INDEX(tbCategorias[Tipo],MATCH(tbLancamentos[[#This Row],[Categoria]],tbCategorias[Categoria],0)),"Categoria?")</f>
        <v>Despesa</v>
      </c>
      <c r="H171" s="155" t="str">
        <f>IFERROR(INDEX(tbCategorias[Grupo],MATCH(tbLancamentos[[#This Row],[Categoria]],tbCategorias[Categoria],0)),"")</f>
        <v>Essencial</v>
      </c>
      <c r="I171" s="156">
        <f>IF(tbLancamentos[[#This Row],[Data]]="","",DATE(YEAR(tbLancamentos[[#This Row],[Data]]),MONTH(tbLancamentos[[#This Row],[Data]]),1))</f>
        <v>46174</v>
      </c>
    </row>
    <row r="172" spans="2:9" x14ac:dyDescent="0.35">
      <c r="B172" s="154">
        <v>46188</v>
      </c>
      <c r="C172" s="73" t="s">
        <v>58</v>
      </c>
      <c r="D172" s="73" t="s">
        <v>24</v>
      </c>
      <c r="E172" s="23">
        <v>195.79</v>
      </c>
      <c r="F172" s="73" t="s">
        <v>34</v>
      </c>
      <c r="G172" s="155" t="str">
        <f>IFERROR(INDEX(tbCategorias[Tipo],MATCH(tbLancamentos[[#This Row],[Categoria]],tbCategorias[Categoria],0)),"Categoria?")</f>
        <v>Despesa</v>
      </c>
      <c r="H172" s="155" t="str">
        <f>IFERROR(INDEX(tbCategorias[Grupo],MATCH(tbLancamentos[[#This Row],[Categoria]],tbCategorias[Categoria],0)),"")</f>
        <v>Estilo de vida</v>
      </c>
      <c r="I172" s="156">
        <f>IF(tbLancamentos[[#This Row],[Data]]="","",DATE(YEAR(tbLancamentos[[#This Row],[Data]]),MONTH(tbLancamentos[[#This Row],[Data]]),1))</f>
        <v>46174</v>
      </c>
    </row>
    <row r="173" spans="2:9" x14ac:dyDescent="0.35">
      <c r="B173" s="154">
        <v>46189</v>
      </c>
      <c r="C173" s="73" t="s">
        <v>75</v>
      </c>
      <c r="D173" s="73" t="s">
        <v>22</v>
      </c>
      <c r="E173" s="23">
        <v>110.71</v>
      </c>
      <c r="F173" s="73" t="s">
        <v>34</v>
      </c>
      <c r="G173" s="155" t="str">
        <f>IFERROR(INDEX(tbCategorias[Tipo],MATCH(tbLancamentos[[#This Row],[Categoria]],tbCategorias[Categoria],0)),"Categoria?")</f>
        <v>Despesa</v>
      </c>
      <c r="H173" s="155" t="str">
        <f>IFERROR(INDEX(tbCategorias[Grupo],MATCH(tbLancamentos[[#This Row],[Categoria]],tbCategorias[Categoria],0)),"")</f>
        <v>Estilo de vida</v>
      </c>
      <c r="I173" s="156">
        <f>IF(tbLancamentos[[#This Row],[Data]]="","",DATE(YEAR(tbLancamentos[[#This Row],[Data]]),MONTH(tbLancamentos[[#This Row],[Data]]),1))</f>
        <v>46174</v>
      </c>
    </row>
    <row r="174" spans="2:9" x14ac:dyDescent="0.35">
      <c r="B174" s="154">
        <v>46190</v>
      </c>
      <c r="C174" s="73" t="s">
        <v>69</v>
      </c>
      <c r="D174" s="73" t="s">
        <v>25</v>
      </c>
      <c r="E174" s="23">
        <v>50.6</v>
      </c>
      <c r="F174" s="73" t="s">
        <v>33</v>
      </c>
      <c r="G174" s="155" t="str">
        <f>IFERROR(INDEX(tbCategorias[Tipo],MATCH(tbLancamentos[[#This Row],[Categoria]],tbCategorias[Categoria],0)),"Categoria?")</f>
        <v>Despesa</v>
      </c>
      <c r="H174" s="155" t="str">
        <f>IFERROR(INDEX(tbCategorias[Grupo],MATCH(tbLancamentos[[#This Row],[Categoria]],tbCategorias[Categoria],0)),"")</f>
        <v>Estilo de vida</v>
      </c>
      <c r="I174" s="156">
        <f>IF(tbLancamentos[[#This Row],[Data]]="","",DATE(YEAR(tbLancamentos[[#This Row],[Data]]),MONTH(tbLancamentos[[#This Row],[Data]]),1))</f>
        <v>46174</v>
      </c>
    </row>
    <row r="175" spans="2:9" x14ac:dyDescent="0.35">
      <c r="B175" s="154">
        <v>46190</v>
      </c>
      <c r="C175" s="73" t="s">
        <v>56</v>
      </c>
      <c r="D175" s="73" t="s">
        <v>16</v>
      </c>
      <c r="E175" s="23">
        <v>275.33999999999997</v>
      </c>
      <c r="F175" s="73" t="s">
        <v>35</v>
      </c>
      <c r="G175" s="155" t="str">
        <f>IFERROR(INDEX(tbCategorias[Tipo],MATCH(tbLancamentos[[#This Row],[Categoria]],tbCategorias[Categoria],0)),"Categoria?")</f>
        <v>Despesa</v>
      </c>
      <c r="H175" s="155" t="str">
        <f>IFERROR(INDEX(tbCategorias[Grupo],MATCH(tbLancamentos[[#This Row],[Categoria]],tbCategorias[Categoria],0)),"")</f>
        <v>Essencial</v>
      </c>
      <c r="I175" s="156">
        <f>IF(tbLancamentos[[#This Row],[Data]]="","",DATE(YEAR(tbLancamentos[[#This Row],[Data]]),MONTH(tbLancamentos[[#This Row],[Data]]),1))</f>
        <v>46174</v>
      </c>
    </row>
    <row r="176" spans="2:9" x14ac:dyDescent="0.35">
      <c r="B176" s="154">
        <v>46191</v>
      </c>
      <c r="C176" s="73" t="s">
        <v>65</v>
      </c>
      <c r="D176" s="73" t="s">
        <v>15</v>
      </c>
      <c r="E176" s="23">
        <v>99.9</v>
      </c>
      <c r="F176" s="73" t="s">
        <v>35</v>
      </c>
      <c r="G176" s="155" t="str">
        <f>IFERROR(INDEX(tbCategorias[Tipo],MATCH(tbLancamentos[[#This Row],[Categoria]],tbCategorias[Categoria],0)),"Categoria?")</f>
        <v>Despesa</v>
      </c>
      <c r="H176" s="155" t="str">
        <f>IFERROR(INDEX(tbCategorias[Grupo],MATCH(tbLancamentos[[#This Row],[Categoria]],tbCategorias[Categoria],0)),"")</f>
        <v>Essencial</v>
      </c>
      <c r="I176" s="156">
        <f>IF(tbLancamentos[[#This Row],[Data]]="","",DATE(YEAR(tbLancamentos[[#This Row],[Data]]),MONTH(tbLancamentos[[#This Row],[Data]]),1))</f>
        <v>46174</v>
      </c>
    </row>
    <row r="177" spans="2:9" x14ac:dyDescent="0.35">
      <c r="B177" s="154">
        <v>46192</v>
      </c>
      <c r="C177" s="73" t="s">
        <v>49</v>
      </c>
      <c r="D177" s="73" t="s">
        <v>17</v>
      </c>
      <c r="E177" s="23">
        <v>113.61</v>
      </c>
      <c r="F177" s="73" t="s">
        <v>34</v>
      </c>
      <c r="G177" s="155" t="str">
        <f>IFERROR(INDEX(tbCategorias[Tipo],MATCH(tbLancamentos[[#This Row],[Categoria]],tbCategorias[Categoria],0)),"Categoria?")</f>
        <v>Despesa</v>
      </c>
      <c r="H177" s="155" t="str">
        <f>IFERROR(INDEX(tbCategorias[Grupo],MATCH(tbLancamentos[[#This Row],[Categoria]],tbCategorias[Categoria],0)),"")</f>
        <v>Essencial</v>
      </c>
      <c r="I177" s="156">
        <f>IF(tbLancamentos[[#This Row],[Data]]="","",DATE(YEAR(tbLancamentos[[#This Row],[Data]]),MONTH(tbLancamentos[[#This Row],[Data]]),1))</f>
        <v>46174</v>
      </c>
    </row>
    <row r="178" spans="2:9" x14ac:dyDescent="0.35">
      <c r="B178" s="154">
        <v>46193</v>
      </c>
      <c r="C178" s="73" t="s">
        <v>66</v>
      </c>
      <c r="D178" s="73" t="s">
        <v>19</v>
      </c>
      <c r="E178" s="23">
        <v>79.900000000000006</v>
      </c>
      <c r="F178" s="73" t="s">
        <v>34</v>
      </c>
      <c r="G178" s="155" t="str">
        <f>IFERROR(INDEX(tbCategorias[Tipo],MATCH(tbLancamentos[[#This Row],[Categoria]],tbCategorias[Categoria],0)),"Categoria?")</f>
        <v>Despesa</v>
      </c>
      <c r="H178" s="155" t="str">
        <f>IFERROR(INDEX(tbCategorias[Grupo],MATCH(tbLancamentos[[#This Row],[Categoria]],tbCategorias[Categoria],0)),"")</f>
        <v>Essencial</v>
      </c>
      <c r="I178" s="156">
        <f>IF(tbLancamentos[[#This Row],[Data]]="","",DATE(YEAR(tbLancamentos[[#This Row],[Data]]),MONTH(tbLancamentos[[#This Row],[Data]]),1))</f>
        <v>46174</v>
      </c>
    </row>
    <row r="179" spans="2:9" x14ac:dyDescent="0.35">
      <c r="B179" s="154">
        <v>46193</v>
      </c>
      <c r="C179" s="73" t="s">
        <v>67</v>
      </c>
      <c r="D179" s="73" t="s">
        <v>15</v>
      </c>
      <c r="E179" s="23">
        <v>49.9</v>
      </c>
      <c r="F179" s="73" t="s">
        <v>34</v>
      </c>
      <c r="G179" s="155" t="str">
        <f>IFERROR(INDEX(tbCategorias[Tipo],MATCH(tbLancamentos[[#This Row],[Categoria]],tbCategorias[Categoria],0)),"Categoria?")</f>
        <v>Despesa</v>
      </c>
      <c r="H179" s="155" t="str">
        <f>IFERROR(INDEX(tbCategorias[Grupo],MATCH(tbLancamentos[[#This Row],[Categoria]],tbCategorias[Categoria],0)),"")</f>
        <v>Essencial</v>
      </c>
      <c r="I179" s="156">
        <f>IF(tbLancamentos[[#This Row],[Data]]="","",DATE(YEAR(tbLancamentos[[#This Row],[Data]]),MONTH(tbLancamentos[[#This Row],[Data]]),1))</f>
        <v>46174</v>
      </c>
    </row>
    <row r="180" spans="2:9" x14ac:dyDescent="0.35">
      <c r="B180" s="154">
        <v>46198</v>
      </c>
      <c r="C180" s="73" t="s">
        <v>56</v>
      </c>
      <c r="D180" s="73" t="s">
        <v>16</v>
      </c>
      <c r="E180" s="23">
        <v>299.07</v>
      </c>
      <c r="F180" s="73" t="s">
        <v>34</v>
      </c>
      <c r="G180" s="155" t="str">
        <f>IFERROR(INDEX(tbCategorias[Tipo],MATCH(tbLancamentos[[#This Row],[Categoria]],tbCategorias[Categoria],0)),"Categoria?")</f>
        <v>Despesa</v>
      </c>
      <c r="H180" s="155" t="str">
        <f>IFERROR(INDEX(tbCategorias[Grupo],MATCH(tbLancamentos[[#This Row],[Categoria]],tbCategorias[Categoria],0)),"")</f>
        <v>Essencial</v>
      </c>
      <c r="I180" s="156">
        <f>IF(tbLancamentos[[#This Row],[Data]]="","",DATE(YEAR(tbLancamentos[[#This Row],[Data]]),MONTH(tbLancamentos[[#This Row],[Data]]),1))</f>
        <v>46174</v>
      </c>
    </row>
    <row r="181" spans="2:9" x14ac:dyDescent="0.35">
      <c r="B181" s="154">
        <v>46206</v>
      </c>
      <c r="C181" s="73" t="s">
        <v>61</v>
      </c>
      <c r="D181" s="73" t="s">
        <v>20</v>
      </c>
      <c r="E181" s="23">
        <v>113.98</v>
      </c>
      <c r="F181" s="73" t="s">
        <v>33</v>
      </c>
      <c r="G181" s="155" t="str">
        <f>IFERROR(INDEX(tbCategorias[Tipo],MATCH(tbLancamentos[[#This Row],[Categoria]],tbCategorias[Categoria],0)),"Categoria?")</f>
        <v>Despesa</v>
      </c>
      <c r="H181" s="155" t="str">
        <f>IFERROR(INDEX(tbCategorias[Grupo],MATCH(tbLancamentos[[#This Row],[Categoria]],tbCategorias[Categoria],0)),"")</f>
        <v>Estilo de vida</v>
      </c>
      <c r="I181" s="156">
        <f>IF(tbLancamentos[[#This Row],[Data]]="","",DATE(YEAR(tbLancamentos[[#This Row],[Data]]),MONTH(tbLancamentos[[#This Row],[Data]]),1))</f>
        <v>46204</v>
      </c>
    </row>
    <row r="182" spans="2:9" x14ac:dyDescent="0.35">
      <c r="B182" s="154">
        <v>46206</v>
      </c>
      <c r="C182" s="73" t="s">
        <v>76</v>
      </c>
      <c r="D182" s="73" t="s">
        <v>16</v>
      </c>
      <c r="E182" s="23">
        <v>173.46</v>
      </c>
      <c r="F182" s="73" t="s">
        <v>35</v>
      </c>
      <c r="G182" s="155" t="str">
        <f>IFERROR(INDEX(tbCategorias[Tipo],MATCH(tbLancamentos[[#This Row],[Categoria]],tbCategorias[Categoria],0)),"Categoria?")</f>
        <v>Despesa</v>
      </c>
      <c r="H182" s="155" t="str">
        <f>IFERROR(INDEX(tbCategorias[Grupo],MATCH(tbLancamentos[[#This Row],[Categoria]],tbCategorias[Categoria],0)),"")</f>
        <v>Essencial</v>
      </c>
      <c r="I182" s="156">
        <f>IF(tbLancamentos[[#This Row],[Data]]="","",DATE(YEAR(tbLancamentos[[#This Row],[Data]]),MONTH(tbLancamentos[[#This Row],[Data]]),1))</f>
        <v>46204</v>
      </c>
    </row>
    <row r="183" spans="2:9" x14ac:dyDescent="0.35">
      <c r="B183" s="154">
        <v>46207</v>
      </c>
      <c r="C183" s="73" t="s">
        <v>71</v>
      </c>
      <c r="D183" s="73" t="s">
        <v>24</v>
      </c>
      <c r="E183" s="23">
        <v>244.46</v>
      </c>
      <c r="F183" s="73" t="s">
        <v>34</v>
      </c>
      <c r="G183" s="155" t="str">
        <f>IFERROR(INDEX(tbCategorias[Tipo],MATCH(tbLancamentos[[#This Row],[Categoria]],tbCategorias[Categoria],0)),"Categoria?")</f>
        <v>Despesa</v>
      </c>
      <c r="H183" s="155" t="str">
        <f>IFERROR(INDEX(tbCategorias[Grupo],MATCH(tbLancamentos[[#This Row],[Categoria]],tbCategorias[Categoria],0)),"")</f>
        <v>Estilo de vida</v>
      </c>
      <c r="I183" s="156">
        <f>IF(tbLancamentos[[#This Row],[Data]]="","",DATE(YEAR(tbLancamentos[[#This Row],[Data]]),MONTH(tbLancamentos[[#This Row],[Data]]),1))</f>
        <v>46204</v>
      </c>
    </row>
    <row r="184" spans="2:9" x14ac:dyDescent="0.35">
      <c r="B184" s="154">
        <v>46208</v>
      </c>
      <c r="C184" s="73" t="s">
        <v>53</v>
      </c>
      <c r="D184" s="73" t="s">
        <v>20</v>
      </c>
      <c r="E184" s="23">
        <v>116.9</v>
      </c>
      <c r="F184" s="73" t="s">
        <v>33</v>
      </c>
      <c r="G184" s="155" t="str">
        <f>IFERROR(INDEX(tbCategorias[Tipo],MATCH(tbLancamentos[[#This Row],[Categoria]],tbCategorias[Categoria],0)),"Categoria?")</f>
        <v>Despesa</v>
      </c>
      <c r="H184" s="155" t="str">
        <f>IFERROR(INDEX(tbCategorias[Grupo],MATCH(tbLancamentos[[#This Row],[Categoria]],tbCategorias[Categoria],0)),"")</f>
        <v>Estilo de vida</v>
      </c>
      <c r="I184" s="156">
        <f>IF(tbLancamentos[[#This Row],[Data]]="","",DATE(YEAR(tbLancamentos[[#This Row],[Data]]),MONTH(tbLancamentos[[#This Row],[Data]]),1))</f>
        <v>46204</v>
      </c>
    </row>
    <row r="185" spans="2:9" x14ac:dyDescent="0.35">
      <c r="B185" s="154">
        <v>46208</v>
      </c>
      <c r="C185" s="73" t="s">
        <v>7</v>
      </c>
      <c r="D185" s="73" t="s">
        <v>7</v>
      </c>
      <c r="E185" s="23">
        <v>5800</v>
      </c>
      <c r="F185" s="73" t="s">
        <v>33</v>
      </c>
      <c r="G185" s="155" t="str">
        <f>IFERROR(INDEX(tbCategorias[Tipo],MATCH(tbLancamentos[[#This Row],[Categoria]],tbCategorias[Categoria],0)),"Categoria?")</f>
        <v>Receita</v>
      </c>
      <c r="H185" s="155" t="str">
        <f>IFERROR(INDEX(tbCategorias[Grupo],MATCH(tbLancamentos[[#This Row],[Categoria]],tbCategorias[Categoria],0)),"")</f>
        <v>Renda</v>
      </c>
      <c r="I185" s="156">
        <f>IF(tbLancamentos[[#This Row],[Data]]="","",DATE(YEAR(tbLancamentos[[#This Row],[Data]]),MONTH(tbLancamentos[[#This Row],[Data]]),1))</f>
        <v>46204</v>
      </c>
    </row>
    <row r="186" spans="2:9" x14ac:dyDescent="0.35">
      <c r="B186" s="154">
        <v>46209</v>
      </c>
      <c r="C186" s="73" t="s">
        <v>49</v>
      </c>
      <c r="D186" s="73" t="s">
        <v>17</v>
      </c>
      <c r="E186" s="23">
        <v>112.34</v>
      </c>
      <c r="F186" s="73" t="s">
        <v>34</v>
      </c>
      <c r="G186" s="155" t="str">
        <f>IFERROR(INDEX(tbCategorias[Tipo],MATCH(tbLancamentos[[#This Row],[Categoria]],tbCategorias[Categoria],0)),"Categoria?")</f>
        <v>Despesa</v>
      </c>
      <c r="H186" s="155" t="str">
        <f>IFERROR(INDEX(tbCategorias[Grupo],MATCH(tbLancamentos[[#This Row],[Categoria]],tbCategorias[Categoria],0)),"")</f>
        <v>Essencial</v>
      </c>
      <c r="I186" s="156">
        <f>IF(tbLancamentos[[#This Row],[Data]]="","",DATE(YEAR(tbLancamentos[[#This Row],[Data]]),MONTH(tbLancamentos[[#This Row],[Data]]),1))</f>
        <v>46204</v>
      </c>
    </row>
    <row r="187" spans="2:9" x14ac:dyDescent="0.35">
      <c r="B187" s="154">
        <v>46210</v>
      </c>
      <c r="C187" s="73" t="s">
        <v>50</v>
      </c>
      <c r="D187" s="73" t="s">
        <v>26</v>
      </c>
      <c r="E187" s="23">
        <v>600</v>
      </c>
      <c r="F187" s="73" t="s">
        <v>33</v>
      </c>
      <c r="G187" s="155" t="str">
        <f>IFERROR(INDEX(tbCategorias[Tipo],MATCH(tbLancamentos[[#This Row],[Categoria]],tbCategorias[Categoria],0)),"Categoria?")</f>
        <v>Investimento</v>
      </c>
      <c r="H187" s="155" t="str">
        <f>IFERROR(INDEX(tbCategorias[Grupo],MATCH(tbLancamentos[[#This Row],[Categoria]],tbCategorias[Categoria],0)),"")</f>
        <v>Investimento</v>
      </c>
      <c r="I187" s="156">
        <f>IF(tbLancamentos[[#This Row],[Data]]="","",DATE(YEAR(tbLancamentos[[#This Row],[Data]]),MONTH(tbLancamentos[[#This Row],[Data]]),1))</f>
        <v>46204</v>
      </c>
    </row>
    <row r="188" spans="2:9" x14ac:dyDescent="0.35">
      <c r="B188" s="154">
        <v>46210</v>
      </c>
      <c r="C188" s="73" t="s">
        <v>61</v>
      </c>
      <c r="D188" s="73" t="s">
        <v>20</v>
      </c>
      <c r="E188" s="23">
        <v>61.15</v>
      </c>
      <c r="F188" s="73" t="s">
        <v>33</v>
      </c>
      <c r="G188" s="155" t="str">
        <f>IFERROR(INDEX(tbCategorias[Tipo],MATCH(tbLancamentos[[#This Row],[Categoria]],tbCategorias[Categoria],0)),"Categoria?")</f>
        <v>Despesa</v>
      </c>
      <c r="H188" s="155" t="str">
        <f>IFERROR(INDEX(tbCategorias[Grupo],MATCH(tbLancamentos[[#This Row],[Categoria]],tbCategorias[Categoria],0)),"")</f>
        <v>Estilo de vida</v>
      </c>
      <c r="I188" s="156">
        <f>IF(tbLancamentos[[#This Row],[Data]]="","",DATE(YEAR(tbLancamentos[[#This Row],[Data]]),MONTH(tbLancamentos[[#This Row],[Data]]),1))</f>
        <v>46204</v>
      </c>
    </row>
    <row r="189" spans="2:9" x14ac:dyDescent="0.35">
      <c r="B189" s="154">
        <v>46211</v>
      </c>
      <c r="C189" s="73" t="s">
        <v>52</v>
      </c>
      <c r="D189" s="73" t="s">
        <v>18</v>
      </c>
      <c r="E189" s="23">
        <v>99.9</v>
      </c>
      <c r="F189" s="73" t="s">
        <v>34</v>
      </c>
      <c r="G189" s="155" t="str">
        <f>IFERROR(INDEX(tbCategorias[Tipo],MATCH(tbLancamentos[[#This Row],[Categoria]],tbCategorias[Categoria],0)),"Categoria?")</f>
        <v>Despesa</v>
      </c>
      <c r="H189" s="155" t="str">
        <f>IFERROR(INDEX(tbCategorias[Grupo],MATCH(tbLancamentos[[#This Row],[Categoria]],tbCategorias[Categoria],0)),"")</f>
        <v>Essencial</v>
      </c>
      <c r="I189" s="156">
        <f>IF(tbLancamentos[[#This Row],[Data]]="","",DATE(YEAR(tbLancamentos[[#This Row],[Data]]),MONTH(tbLancamentos[[#This Row],[Data]]),1))</f>
        <v>46204</v>
      </c>
    </row>
    <row r="190" spans="2:9" x14ac:dyDescent="0.35">
      <c r="B190" s="154">
        <v>46211</v>
      </c>
      <c r="C190" s="73" t="s">
        <v>54</v>
      </c>
      <c r="D190" s="73" t="s">
        <v>18</v>
      </c>
      <c r="E190" s="23">
        <v>59.9</v>
      </c>
      <c r="F190" s="73" t="s">
        <v>36</v>
      </c>
      <c r="G190" s="155" t="str">
        <f>IFERROR(INDEX(tbCategorias[Tipo],MATCH(tbLancamentos[[#This Row],[Categoria]],tbCategorias[Categoria],0)),"Categoria?")</f>
        <v>Despesa</v>
      </c>
      <c r="H190" s="155" t="str">
        <f>IFERROR(INDEX(tbCategorias[Grupo],MATCH(tbLancamentos[[#This Row],[Categoria]],tbCategorias[Categoria],0)),"")</f>
        <v>Essencial</v>
      </c>
      <c r="I190" s="156">
        <f>IF(tbLancamentos[[#This Row],[Data]]="","",DATE(YEAR(tbLancamentos[[#This Row],[Data]]),MONTH(tbLancamentos[[#This Row],[Data]]),1))</f>
        <v>46204</v>
      </c>
    </row>
    <row r="191" spans="2:9" x14ac:dyDescent="0.35">
      <c r="B191" s="154">
        <v>46212</v>
      </c>
      <c r="C191" s="73" t="s">
        <v>75</v>
      </c>
      <c r="D191" s="73" t="s">
        <v>22</v>
      </c>
      <c r="E191" s="23">
        <v>94.54</v>
      </c>
      <c r="F191" s="73" t="s">
        <v>34</v>
      </c>
      <c r="G191" s="155" t="str">
        <f>IFERROR(INDEX(tbCategorias[Tipo],MATCH(tbLancamentos[[#This Row],[Categoria]],tbCategorias[Categoria],0)),"Categoria?")</f>
        <v>Despesa</v>
      </c>
      <c r="H191" s="155" t="str">
        <f>IFERROR(INDEX(tbCategorias[Grupo],MATCH(tbLancamentos[[#This Row],[Categoria]],tbCategorias[Categoria],0)),"")</f>
        <v>Estilo de vida</v>
      </c>
      <c r="I191" s="156">
        <f>IF(tbLancamentos[[#This Row],[Data]]="","",DATE(YEAR(tbLancamentos[[#This Row],[Data]]),MONTH(tbLancamentos[[#This Row],[Data]]),1))</f>
        <v>46204</v>
      </c>
    </row>
    <row r="192" spans="2:9" x14ac:dyDescent="0.35">
      <c r="B192" s="154">
        <v>46213</v>
      </c>
      <c r="C192" s="73" t="s">
        <v>55</v>
      </c>
      <c r="D192" s="73" t="s">
        <v>12</v>
      </c>
      <c r="E192" s="23">
        <v>1200</v>
      </c>
      <c r="F192" s="73" t="s">
        <v>36</v>
      </c>
      <c r="G192" s="155" t="str">
        <f>IFERROR(INDEX(tbCategorias[Tipo],MATCH(tbLancamentos[[#This Row],[Categoria]],tbCategorias[Categoria],0)),"Categoria?")</f>
        <v>Despesa</v>
      </c>
      <c r="H192" s="155" t="str">
        <f>IFERROR(INDEX(tbCategorias[Grupo],MATCH(tbLancamentos[[#This Row],[Categoria]],tbCategorias[Categoria],0)),"")</f>
        <v>Essencial</v>
      </c>
      <c r="I192" s="156">
        <f>IF(tbLancamentos[[#This Row],[Data]]="","",DATE(YEAR(tbLancamentos[[#This Row],[Data]]),MONTH(tbLancamentos[[#This Row],[Data]]),1))</f>
        <v>46204</v>
      </c>
    </row>
    <row r="193" spans="2:9" x14ac:dyDescent="0.35">
      <c r="B193" s="154">
        <v>46213</v>
      </c>
      <c r="C193" s="73" t="s">
        <v>46</v>
      </c>
      <c r="D193" s="73" t="s">
        <v>16</v>
      </c>
      <c r="E193" s="23">
        <v>253.22</v>
      </c>
      <c r="F193" s="73" t="s">
        <v>34</v>
      </c>
      <c r="G193" s="155" t="str">
        <f>IFERROR(INDEX(tbCategorias[Tipo],MATCH(tbLancamentos[[#This Row],[Categoria]],tbCategorias[Categoria],0)),"Categoria?")</f>
        <v>Despesa</v>
      </c>
      <c r="H193" s="155" t="str">
        <f>IFERROR(INDEX(tbCategorias[Grupo],MATCH(tbLancamentos[[#This Row],[Categoria]],tbCategorias[Categoria],0)),"")</f>
        <v>Essencial</v>
      </c>
      <c r="I193" s="156">
        <f>IF(tbLancamentos[[#This Row],[Data]]="","",DATE(YEAR(tbLancamentos[[#This Row],[Data]]),MONTH(tbLancamentos[[#This Row],[Data]]),1))</f>
        <v>46204</v>
      </c>
    </row>
    <row r="194" spans="2:9" x14ac:dyDescent="0.35">
      <c r="B194" s="154">
        <v>46215</v>
      </c>
      <c r="C194" s="73" t="s">
        <v>57</v>
      </c>
      <c r="D194" s="73" t="s">
        <v>15</v>
      </c>
      <c r="E194" s="23">
        <v>169.9</v>
      </c>
      <c r="F194" s="73" t="s">
        <v>36</v>
      </c>
      <c r="G194" s="155" t="str">
        <f>IFERROR(INDEX(tbCategorias[Tipo],MATCH(tbLancamentos[[#This Row],[Categoria]],tbCategorias[Categoria],0)),"Categoria?")</f>
        <v>Despesa</v>
      </c>
      <c r="H194" s="155" t="str">
        <f>IFERROR(INDEX(tbCategorias[Grupo],MATCH(tbLancamentos[[#This Row],[Categoria]],tbCategorias[Categoria],0)),"")</f>
        <v>Essencial</v>
      </c>
      <c r="I194" s="156">
        <f>IF(tbLancamentos[[#This Row],[Data]]="","",DATE(YEAR(tbLancamentos[[#This Row],[Data]]),MONTH(tbLancamentos[[#This Row],[Data]]),1))</f>
        <v>46204</v>
      </c>
    </row>
    <row r="195" spans="2:9" x14ac:dyDescent="0.35">
      <c r="B195" s="154">
        <v>46215</v>
      </c>
      <c r="C195" s="73" t="s">
        <v>81</v>
      </c>
      <c r="D195" s="73" t="s">
        <v>26</v>
      </c>
      <c r="E195" s="23">
        <v>259.76</v>
      </c>
      <c r="F195" s="73" t="s">
        <v>33</v>
      </c>
      <c r="G195" s="155" t="str">
        <f>IFERROR(INDEX(tbCategorias[Tipo],MATCH(tbLancamentos[[#This Row],[Categoria]],tbCategorias[Categoria],0)),"Categoria?")</f>
        <v>Investimento</v>
      </c>
      <c r="H195" s="155" t="str">
        <f>IFERROR(INDEX(tbCategorias[Grupo],MATCH(tbLancamentos[[#This Row],[Categoria]],tbCategorias[Categoria],0)),"")</f>
        <v>Investimento</v>
      </c>
      <c r="I195" s="156">
        <f>IF(tbLancamentos[[#This Row],[Data]]="","",DATE(YEAR(tbLancamentos[[#This Row],[Data]]),MONTH(tbLancamentos[[#This Row],[Data]]),1))</f>
        <v>46204</v>
      </c>
    </row>
    <row r="196" spans="2:9" x14ac:dyDescent="0.35">
      <c r="B196" s="154">
        <v>46217</v>
      </c>
      <c r="C196" s="73" t="s">
        <v>59</v>
      </c>
      <c r="D196" s="73" t="s">
        <v>23</v>
      </c>
      <c r="E196" s="23">
        <v>44.9</v>
      </c>
      <c r="F196" s="73" t="s">
        <v>34</v>
      </c>
      <c r="G196" s="155" t="str">
        <f>IFERROR(INDEX(tbCategorias[Tipo],MATCH(tbLancamentos[[#This Row],[Categoria]],tbCategorias[Categoria],0)),"Categoria?")</f>
        <v>Despesa</v>
      </c>
      <c r="H196" s="155" t="str">
        <f>IFERROR(INDEX(tbCategorias[Grupo],MATCH(tbLancamentos[[#This Row],[Categoria]],tbCategorias[Categoria],0)),"")</f>
        <v>Estilo de vida</v>
      </c>
      <c r="I196" s="156">
        <f>IF(tbLancamentos[[#This Row],[Data]]="","",DATE(YEAR(tbLancamentos[[#This Row],[Data]]),MONTH(tbLancamentos[[#This Row],[Data]]),1))</f>
        <v>46204</v>
      </c>
    </row>
    <row r="197" spans="2:9" x14ac:dyDescent="0.35">
      <c r="B197" s="154">
        <v>46217</v>
      </c>
      <c r="C197" s="73" t="s">
        <v>60</v>
      </c>
      <c r="D197" s="73" t="s">
        <v>23</v>
      </c>
      <c r="E197" s="23">
        <v>21.9</v>
      </c>
      <c r="F197" s="73" t="s">
        <v>34</v>
      </c>
      <c r="G197" s="155" t="str">
        <f>IFERROR(INDEX(tbCategorias[Tipo],MATCH(tbLancamentos[[#This Row],[Categoria]],tbCategorias[Categoria],0)),"Categoria?")</f>
        <v>Despesa</v>
      </c>
      <c r="H197" s="155" t="str">
        <f>IFERROR(INDEX(tbCategorias[Grupo],MATCH(tbLancamentos[[#This Row],[Categoria]],tbCategorias[Categoria],0)),"")</f>
        <v>Estilo de vida</v>
      </c>
      <c r="I197" s="156">
        <f>IF(tbLancamentos[[#This Row],[Data]]="","",DATE(YEAR(tbLancamentos[[#This Row],[Data]]),MONTH(tbLancamentos[[#This Row],[Data]]),1))</f>
        <v>46204</v>
      </c>
    </row>
    <row r="198" spans="2:9" x14ac:dyDescent="0.35">
      <c r="B198" s="154">
        <v>46218</v>
      </c>
      <c r="C198" s="73" t="s">
        <v>63</v>
      </c>
      <c r="D198" s="73" t="s">
        <v>15</v>
      </c>
      <c r="E198" s="23">
        <v>82.95</v>
      </c>
      <c r="F198" s="73" t="s">
        <v>36</v>
      </c>
      <c r="G198" s="155" t="str">
        <f>IFERROR(INDEX(tbCategorias[Tipo],MATCH(tbLancamentos[[#This Row],[Categoria]],tbCategorias[Categoria],0)),"Categoria?")</f>
        <v>Despesa</v>
      </c>
      <c r="H198" s="155" t="str">
        <f>IFERROR(INDEX(tbCategorias[Grupo],MATCH(tbLancamentos[[#This Row],[Categoria]],tbCategorias[Categoria],0)),"")</f>
        <v>Essencial</v>
      </c>
      <c r="I198" s="156">
        <f>IF(tbLancamentos[[#This Row],[Data]]="","",DATE(YEAR(tbLancamentos[[#This Row],[Data]]),MONTH(tbLancamentos[[#This Row],[Data]]),1))</f>
        <v>46204</v>
      </c>
    </row>
    <row r="199" spans="2:9" x14ac:dyDescent="0.35">
      <c r="B199" s="154">
        <v>46221</v>
      </c>
      <c r="C199" s="73" t="s">
        <v>76</v>
      </c>
      <c r="D199" s="73" t="s">
        <v>16</v>
      </c>
      <c r="E199" s="23">
        <v>225.24</v>
      </c>
      <c r="F199" s="73" t="s">
        <v>33</v>
      </c>
      <c r="G199" s="155" t="str">
        <f>IFERROR(INDEX(tbCategorias[Tipo],MATCH(tbLancamentos[[#This Row],[Categoria]],tbCategorias[Categoria],0)),"Categoria?")</f>
        <v>Despesa</v>
      </c>
      <c r="H199" s="155" t="str">
        <f>IFERROR(INDEX(tbCategorias[Grupo],MATCH(tbLancamentos[[#This Row],[Categoria]],tbCategorias[Categoria],0)),"")</f>
        <v>Essencial</v>
      </c>
      <c r="I199" s="156">
        <f>IF(tbLancamentos[[#This Row],[Data]]="","",DATE(YEAR(tbLancamentos[[#This Row],[Data]]),MONTH(tbLancamentos[[#This Row],[Data]]),1))</f>
        <v>46204</v>
      </c>
    </row>
    <row r="200" spans="2:9" x14ac:dyDescent="0.35">
      <c r="B200" s="154">
        <v>46221</v>
      </c>
      <c r="C200" s="73" t="s">
        <v>65</v>
      </c>
      <c r="D200" s="73" t="s">
        <v>15</v>
      </c>
      <c r="E200" s="23">
        <v>99.9</v>
      </c>
      <c r="F200" s="73" t="s">
        <v>35</v>
      </c>
      <c r="G200" s="155" t="str">
        <f>IFERROR(INDEX(tbCategorias[Tipo],MATCH(tbLancamentos[[#This Row],[Categoria]],tbCategorias[Categoria],0)),"Categoria?")</f>
        <v>Despesa</v>
      </c>
      <c r="H200" s="155" t="str">
        <f>IFERROR(INDEX(tbCategorias[Grupo],MATCH(tbLancamentos[[#This Row],[Categoria]],tbCategorias[Categoria],0)),"")</f>
        <v>Essencial</v>
      </c>
      <c r="I200" s="156">
        <f>IF(tbLancamentos[[#This Row],[Data]]="","",DATE(YEAR(tbLancamentos[[#This Row],[Data]]),MONTH(tbLancamentos[[#This Row],[Data]]),1))</f>
        <v>46204</v>
      </c>
    </row>
    <row r="201" spans="2:9" x14ac:dyDescent="0.35">
      <c r="B201" s="154">
        <v>46222</v>
      </c>
      <c r="C201" s="73" t="s">
        <v>49</v>
      </c>
      <c r="D201" s="73" t="s">
        <v>17</v>
      </c>
      <c r="E201" s="23">
        <v>148.69999999999999</v>
      </c>
      <c r="F201" s="73" t="s">
        <v>34</v>
      </c>
      <c r="G201" s="155" t="str">
        <f>IFERROR(INDEX(tbCategorias[Tipo],MATCH(tbLancamentos[[#This Row],[Categoria]],tbCategorias[Categoria],0)),"Categoria?")</f>
        <v>Despesa</v>
      </c>
      <c r="H201" s="155" t="str">
        <f>IFERROR(INDEX(tbCategorias[Grupo],MATCH(tbLancamentos[[#This Row],[Categoria]],tbCategorias[Categoria],0)),"")</f>
        <v>Essencial</v>
      </c>
      <c r="I201" s="156">
        <f>IF(tbLancamentos[[#This Row],[Data]]="","",DATE(YEAR(tbLancamentos[[#This Row],[Data]]),MONTH(tbLancamentos[[#This Row],[Data]]),1))</f>
        <v>46204</v>
      </c>
    </row>
    <row r="202" spans="2:9" x14ac:dyDescent="0.35">
      <c r="B202" s="154">
        <v>46223</v>
      </c>
      <c r="C202" s="73" t="s">
        <v>62</v>
      </c>
      <c r="D202" s="73" t="s">
        <v>17</v>
      </c>
      <c r="E202" s="23">
        <v>40.81</v>
      </c>
      <c r="F202" s="73" t="s">
        <v>34</v>
      </c>
      <c r="G202" s="155" t="str">
        <f>IFERROR(INDEX(tbCategorias[Tipo],MATCH(tbLancamentos[[#This Row],[Categoria]],tbCategorias[Categoria],0)),"Categoria?")</f>
        <v>Despesa</v>
      </c>
      <c r="H202" s="155" t="str">
        <f>IFERROR(INDEX(tbCategorias[Grupo],MATCH(tbLancamentos[[#This Row],[Categoria]],tbCategorias[Categoria],0)),"")</f>
        <v>Essencial</v>
      </c>
      <c r="I202" s="156">
        <f>IF(tbLancamentos[[#This Row],[Data]]="","",DATE(YEAR(tbLancamentos[[#This Row],[Data]]),MONTH(tbLancamentos[[#This Row],[Data]]),1))</f>
        <v>46204</v>
      </c>
    </row>
    <row r="203" spans="2:9" x14ac:dyDescent="0.35">
      <c r="B203" s="154">
        <v>46223</v>
      </c>
      <c r="C203" s="73" t="s">
        <v>66</v>
      </c>
      <c r="D203" s="73" t="s">
        <v>19</v>
      </c>
      <c r="E203" s="23">
        <v>79.900000000000006</v>
      </c>
      <c r="F203" s="73" t="s">
        <v>34</v>
      </c>
      <c r="G203" s="155" t="str">
        <f>IFERROR(INDEX(tbCategorias[Tipo],MATCH(tbLancamentos[[#This Row],[Categoria]],tbCategorias[Categoria],0)),"Categoria?")</f>
        <v>Despesa</v>
      </c>
      <c r="H203" s="155" t="str">
        <f>IFERROR(INDEX(tbCategorias[Grupo],MATCH(tbLancamentos[[#This Row],[Categoria]],tbCategorias[Categoria],0)),"")</f>
        <v>Essencial</v>
      </c>
      <c r="I203" s="156">
        <f>IF(tbLancamentos[[#This Row],[Data]]="","",DATE(YEAR(tbLancamentos[[#This Row],[Data]]),MONTH(tbLancamentos[[#This Row],[Data]]),1))</f>
        <v>46204</v>
      </c>
    </row>
    <row r="204" spans="2:9" x14ac:dyDescent="0.35">
      <c r="B204" s="154">
        <v>46223</v>
      </c>
      <c r="C204" s="73" t="s">
        <v>67</v>
      </c>
      <c r="D204" s="73" t="s">
        <v>15</v>
      </c>
      <c r="E204" s="23">
        <v>49.9</v>
      </c>
      <c r="F204" s="73" t="s">
        <v>34</v>
      </c>
      <c r="G204" s="155" t="str">
        <f>IFERROR(INDEX(tbCategorias[Tipo],MATCH(tbLancamentos[[#This Row],[Categoria]],tbCategorias[Categoria],0)),"Categoria?")</f>
        <v>Despesa</v>
      </c>
      <c r="H204" s="155" t="str">
        <f>IFERROR(INDEX(tbCategorias[Grupo],MATCH(tbLancamentos[[#This Row],[Categoria]],tbCategorias[Categoria],0)),"")</f>
        <v>Essencial</v>
      </c>
      <c r="I204" s="156">
        <f>IF(tbLancamentos[[#This Row],[Data]]="","",DATE(YEAR(tbLancamentos[[#This Row],[Data]]),MONTH(tbLancamentos[[#This Row],[Data]]),1))</f>
        <v>46204</v>
      </c>
    </row>
    <row r="205" spans="2:9" x14ac:dyDescent="0.35">
      <c r="B205" s="154">
        <v>46224</v>
      </c>
      <c r="C205" s="73" t="s">
        <v>72</v>
      </c>
      <c r="D205" s="73" t="s">
        <v>20</v>
      </c>
      <c r="E205" s="23">
        <v>111.43</v>
      </c>
      <c r="F205" s="73" t="s">
        <v>34</v>
      </c>
      <c r="G205" s="155" t="str">
        <f>IFERROR(INDEX(tbCategorias[Tipo],MATCH(tbLancamentos[[#This Row],[Categoria]],tbCategorias[Categoria],0)),"Categoria?")</f>
        <v>Despesa</v>
      </c>
      <c r="H205" s="155" t="str">
        <f>IFERROR(INDEX(tbCategorias[Grupo],MATCH(tbLancamentos[[#This Row],[Categoria]],tbCategorias[Categoria],0)),"")</f>
        <v>Estilo de vida</v>
      </c>
      <c r="I205" s="156">
        <f>IF(tbLancamentos[[#This Row],[Data]]="","",DATE(YEAR(tbLancamentos[[#This Row],[Data]]),MONTH(tbLancamentos[[#This Row],[Data]]),1))</f>
        <v>46204</v>
      </c>
    </row>
    <row r="206" spans="2:9" x14ac:dyDescent="0.35">
      <c r="B206" s="154">
        <v>46226</v>
      </c>
      <c r="C206" s="73" t="s">
        <v>75</v>
      </c>
      <c r="D206" s="73" t="s">
        <v>22</v>
      </c>
      <c r="E206" s="23">
        <v>48.38</v>
      </c>
      <c r="F206" s="73" t="s">
        <v>37</v>
      </c>
      <c r="G206" s="155" t="str">
        <f>IFERROR(INDEX(tbCategorias[Tipo],MATCH(tbLancamentos[[#This Row],[Categoria]],tbCategorias[Categoria],0)),"Categoria?")</f>
        <v>Despesa</v>
      </c>
      <c r="H206" s="155" t="str">
        <f>IFERROR(INDEX(tbCategorias[Grupo],MATCH(tbLancamentos[[#This Row],[Categoria]],tbCategorias[Categoria],0)),"")</f>
        <v>Estilo de vida</v>
      </c>
      <c r="I206" s="156">
        <f>IF(tbLancamentos[[#This Row],[Data]]="","",DATE(YEAR(tbLancamentos[[#This Row],[Data]]),MONTH(tbLancamentos[[#This Row],[Data]]),1))</f>
        <v>46204</v>
      </c>
    </row>
    <row r="207" spans="2:9" x14ac:dyDescent="0.35">
      <c r="B207" s="154">
        <v>46227</v>
      </c>
      <c r="C207" s="73" t="s">
        <v>62</v>
      </c>
      <c r="D207" s="73" t="s">
        <v>17</v>
      </c>
      <c r="E207" s="23">
        <v>39.9</v>
      </c>
      <c r="F207" s="73" t="s">
        <v>34</v>
      </c>
      <c r="G207" s="155" t="str">
        <f>IFERROR(INDEX(tbCategorias[Tipo],MATCH(tbLancamentos[[#This Row],[Categoria]],tbCategorias[Categoria],0)),"Categoria?")</f>
        <v>Despesa</v>
      </c>
      <c r="H207" s="155" t="str">
        <f>IFERROR(INDEX(tbCategorias[Grupo],MATCH(tbLancamentos[[#This Row],[Categoria]],tbCategorias[Categoria],0)),"")</f>
        <v>Essencial</v>
      </c>
      <c r="I207" s="156">
        <f>IF(tbLancamentos[[#This Row],[Data]]="","",DATE(YEAR(tbLancamentos[[#This Row],[Data]]),MONTH(tbLancamentos[[#This Row],[Data]]),1))</f>
        <v>46204</v>
      </c>
    </row>
    <row r="208" spans="2:9" x14ac:dyDescent="0.35">
      <c r="B208" s="154">
        <v>46228</v>
      </c>
      <c r="C208" s="73" t="s">
        <v>58</v>
      </c>
      <c r="D208" s="73" t="s">
        <v>24</v>
      </c>
      <c r="E208" s="23">
        <v>259.45</v>
      </c>
      <c r="F208" s="73" t="s">
        <v>34</v>
      </c>
      <c r="G208" s="155" t="str">
        <f>IFERROR(INDEX(tbCategorias[Tipo],MATCH(tbLancamentos[[#This Row],[Categoria]],tbCategorias[Categoria],0)),"Categoria?")</f>
        <v>Despesa</v>
      </c>
      <c r="H208" s="155" t="str">
        <f>IFERROR(INDEX(tbCategorias[Grupo],MATCH(tbLancamentos[[#This Row],[Categoria]],tbCategorias[Categoria],0)),"")</f>
        <v>Estilo de vida</v>
      </c>
      <c r="I208" s="156">
        <f>IF(tbLancamentos[[#This Row],[Data]]="","",DATE(YEAR(tbLancamentos[[#This Row],[Data]]),MONTH(tbLancamentos[[#This Row],[Data]]),1))</f>
        <v>46204</v>
      </c>
    </row>
    <row r="209" spans="2:9" x14ac:dyDescent="0.35">
      <c r="B209" s="154">
        <v>46228</v>
      </c>
      <c r="C209" s="73" t="s">
        <v>56</v>
      </c>
      <c r="D209" s="73" t="s">
        <v>16</v>
      </c>
      <c r="E209" s="23">
        <v>305.76</v>
      </c>
      <c r="F209" s="73" t="s">
        <v>35</v>
      </c>
      <c r="G209" s="155" t="str">
        <f>IFERROR(INDEX(tbCategorias[Tipo],MATCH(tbLancamentos[[#This Row],[Categoria]],tbCategorias[Categoria],0)),"Categoria?")</f>
        <v>Despesa</v>
      </c>
      <c r="H209" s="155" t="str">
        <f>IFERROR(INDEX(tbCategorias[Grupo],MATCH(tbLancamentos[[#This Row],[Categoria]],tbCategorias[Categoria],0)),"")</f>
        <v>Essencial</v>
      </c>
      <c r="I209" s="156">
        <f>IF(tbLancamentos[[#This Row],[Data]]="","",DATE(YEAR(tbLancamentos[[#This Row],[Data]]),MONTH(tbLancamentos[[#This Row],[Data]]),1))</f>
        <v>46204</v>
      </c>
    </row>
    <row r="210" spans="2:9" x14ac:dyDescent="0.35">
      <c r="B210" s="154">
        <v>46237</v>
      </c>
      <c r="C210" s="73" t="s">
        <v>48</v>
      </c>
      <c r="D210" s="73" t="s">
        <v>20</v>
      </c>
      <c r="E210" s="23">
        <v>73.47</v>
      </c>
      <c r="F210" s="73" t="s">
        <v>33</v>
      </c>
      <c r="G210" s="155" t="str">
        <f>IFERROR(INDEX(tbCategorias[Tipo],MATCH(tbLancamentos[[#This Row],[Categoria]],tbCategorias[Categoria],0)),"Categoria?")</f>
        <v>Despesa</v>
      </c>
      <c r="H210" s="155" t="str">
        <f>IFERROR(INDEX(tbCategorias[Grupo],MATCH(tbLancamentos[[#This Row],[Categoria]],tbCategorias[Categoria],0)),"")</f>
        <v>Estilo de vida</v>
      </c>
      <c r="I210" s="156">
        <f>IF(tbLancamentos[[#This Row],[Data]]="","",DATE(YEAR(tbLancamentos[[#This Row],[Data]]),MONTH(tbLancamentos[[#This Row],[Data]]),1))</f>
        <v>46235</v>
      </c>
    </row>
    <row r="211" spans="2:9" x14ac:dyDescent="0.35">
      <c r="B211" s="154">
        <v>46238</v>
      </c>
      <c r="C211" s="73" t="s">
        <v>68</v>
      </c>
      <c r="D211" s="73" t="s">
        <v>16</v>
      </c>
      <c r="E211" s="23">
        <v>328.78</v>
      </c>
      <c r="F211" s="73" t="s">
        <v>35</v>
      </c>
      <c r="G211" s="155" t="str">
        <f>IFERROR(INDEX(tbCategorias[Tipo],MATCH(tbLancamentos[[#This Row],[Categoria]],tbCategorias[Categoria],0)),"Categoria?")</f>
        <v>Despesa</v>
      </c>
      <c r="H211" s="155" t="str">
        <f>IFERROR(INDEX(tbCategorias[Grupo],MATCH(tbLancamentos[[#This Row],[Categoria]],tbCategorias[Categoria],0)),"")</f>
        <v>Essencial</v>
      </c>
      <c r="I211" s="156">
        <f>IF(tbLancamentos[[#This Row],[Data]]="","",DATE(YEAR(tbLancamentos[[#This Row],[Data]]),MONTH(tbLancamentos[[#This Row],[Data]]),1))</f>
        <v>46235</v>
      </c>
    </row>
    <row r="212" spans="2:9" x14ac:dyDescent="0.35">
      <c r="B212" s="154">
        <v>46238</v>
      </c>
      <c r="C212" s="73" t="s">
        <v>73</v>
      </c>
      <c r="D212" s="73" t="s">
        <v>11</v>
      </c>
      <c r="E212" s="23">
        <v>139.4</v>
      </c>
      <c r="F212" s="73" t="s">
        <v>33</v>
      </c>
      <c r="G212" s="155" t="str">
        <f>IFERROR(INDEX(tbCategorias[Tipo],MATCH(tbLancamentos[[#This Row],[Categoria]],tbCategorias[Categoria],0)),"Categoria?")</f>
        <v>Receita</v>
      </c>
      <c r="H212" s="155" t="str">
        <f>IFERROR(INDEX(tbCategorias[Grupo],MATCH(tbLancamentos[[#This Row],[Categoria]],tbCategorias[Categoria],0)),"")</f>
        <v>Renda</v>
      </c>
      <c r="I212" s="156">
        <f>IF(tbLancamentos[[#This Row],[Data]]="","",DATE(YEAR(tbLancamentos[[#This Row],[Data]]),MONTH(tbLancamentos[[#This Row],[Data]]),1))</f>
        <v>46235</v>
      </c>
    </row>
    <row r="213" spans="2:9" x14ac:dyDescent="0.35">
      <c r="B213" s="154">
        <v>46239</v>
      </c>
      <c r="C213" s="73" t="s">
        <v>7</v>
      </c>
      <c r="D213" s="73" t="s">
        <v>7</v>
      </c>
      <c r="E213" s="23">
        <v>5800</v>
      </c>
      <c r="F213" s="73" t="s">
        <v>33</v>
      </c>
      <c r="G213" s="155" t="str">
        <f>IFERROR(INDEX(tbCategorias[Tipo],MATCH(tbLancamentos[[#This Row],[Categoria]],tbCategorias[Categoria],0)),"Categoria?")</f>
        <v>Receita</v>
      </c>
      <c r="H213" s="155" t="str">
        <f>IFERROR(INDEX(tbCategorias[Grupo],MATCH(tbLancamentos[[#This Row],[Categoria]],tbCategorias[Categoria],0)),"")</f>
        <v>Renda</v>
      </c>
      <c r="I213" s="156">
        <f>IF(tbLancamentos[[#This Row],[Data]]="","",DATE(YEAR(tbLancamentos[[#This Row],[Data]]),MONTH(tbLancamentos[[#This Row],[Data]]),1))</f>
        <v>46235</v>
      </c>
    </row>
    <row r="214" spans="2:9" x14ac:dyDescent="0.35">
      <c r="B214" s="154">
        <v>46240</v>
      </c>
      <c r="C214" s="73" t="s">
        <v>49</v>
      </c>
      <c r="D214" s="73" t="s">
        <v>17</v>
      </c>
      <c r="E214" s="23">
        <v>149.78</v>
      </c>
      <c r="F214" s="73" t="s">
        <v>34</v>
      </c>
      <c r="G214" s="155" t="str">
        <f>IFERROR(INDEX(tbCategorias[Tipo],MATCH(tbLancamentos[[#This Row],[Categoria]],tbCategorias[Categoria],0)),"Categoria?")</f>
        <v>Despesa</v>
      </c>
      <c r="H214" s="155" t="str">
        <f>IFERROR(INDEX(tbCategorias[Grupo],MATCH(tbLancamentos[[#This Row],[Categoria]],tbCategorias[Categoria],0)),"")</f>
        <v>Essencial</v>
      </c>
      <c r="I214" s="156">
        <f>IF(tbLancamentos[[#This Row],[Data]]="","",DATE(YEAR(tbLancamentos[[#This Row],[Data]]),MONTH(tbLancamentos[[#This Row],[Data]]),1))</f>
        <v>46235</v>
      </c>
    </row>
    <row r="215" spans="2:9" x14ac:dyDescent="0.35">
      <c r="B215" s="154">
        <v>46241</v>
      </c>
      <c r="C215" s="73" t="s">
        <v>61</v>
      </c>
      <c r="D215" s="73" t="s">
        <v>20</v>
      </c>
      <c r="E215" s="23">
        <v>40.99</v>
      </c>
      <c r="F215" s="73" t="s">
        <v>33</v>
      </c>
      <c r="G215" s="155" t="str">
        <f>IFERROR(INDEX(tbCategorias[Tipo],MATCH(tbLancamentos[[#This Row],[Categoria]],tbCategorias[Categoria],0)),"Categoria?")</f>
        <v>Despesa</v>
      </c>
      <c r="H215" s="155" t="str">
        <f>IFERROR(INDEX(tbCategorias[Grupo],MATCH(tbLancamentos[[#This Row],[Categoria]],tbCategorias[Categoria],0)),"")</f>
        <v>Estilo de vida</v>
      </c>
      <c r="I215" s="156">
        <f>IF(tbLancamentos[[#This Row],[Data]]="","",DATE(YEAR(tbLancamentos[[#This Row],[Data]]),MONTH(tbLancamentos[[#This Row],[Data]]),1))</f>
        <v>46235</v>
      </c>
    </row>
    <row r="216" spans="2:9" x14ac:dyDescent="0.35">
      <c r="B216" s="154">
        <v>46241</v>
      </c>
      <c r="C216" s="73" t="s">
        <v>50</v>
      </c>
      <c r="D216" s="73" t="s">
        <v>26</v>
      </c>
      <c r="E216" s="23">
        <v>600</v>
      </c>
      <c r="F216" s="73" t="s">
        <v>33</v>
      </c>
      <c r="G216" s="155" t="str">
        <f>IFERROR(INDEX(tbCategorias[Tipo],MATCH(tbLancamentos[[#This Row],[Categoria]],tbCategorias[Categoria],0)),"Categoria?")</f>
        <v>Investimento</v>
      </c>
      <c r="H216" s="155" t="str">
        <f>IFERROR(INDEX(tbCategorias[Grupo],MATCH(tbLancamentos[[#This Row],[Categoria]],tbCategorias[Categoria],0)),"")</f>
        <v>Investimento</v>
      </c>
      <c r="I216" s="156">
        <f>IF(tbLancamentos[[#This Row],[Data]]="","",DATE(YEAR(tbLancamentos[[#This Row],[Data]]),MONTH(tbLancamentos[[#This Row],[Data]]),1))</f>
        <v>46235</v>
      </c>
    </row>
    <row r="217" spans="2:9" x14ac:dyDescent="0.35">
      <c r="B217" s="154">
        <v>46242</v>
      </c>
      <c r="C217" s="73" t="s">
        <v>52</v>
      </c>
      <c r="D217" s="73" t="s">
        <v>18</v>
      </c>
      <c r="E217" s="23">
        <v>99.9</v>
      </c>
      <c r="F217" s="73" t="s">
        <v>34</v>
      </c>
      <c r="G217" s="155" t="str">
        <f>IFERROR(INDEX(tbCategorias[Tipo],MATCH(tbLancamentos[[#This Row],[Categoria]],tbCategorias[Categoria],0)),"Categoria?")</f>
        <v>Despesa</v>
      </c>
      <c r="H217" s="155" t="str">
        <f>IFERROR(INDEX(tbCategorias[Grupo],MATCH(tbLancamentos[[#This Row],[Categoria]],tbCategorias[Categoria],0)),"")</f>
        <v>Essencial</v>
      </c>
      <c r="I217" s="156">
        <f>IF(tbLancamentos[[#This Row],[Data]]="","",DATE(YEAR(tbLancamentos[[#This Row],[Data]]),MONTH(tbLancamentos[[#This Row],[Data]]),1))</f>
        <v>46235</v>
      </c>
    </row>
    <row r="218" spans="2:9" x14ac:dyDescent="0.35">
      <c r="B218" s="154">
        <v>46242</v>
      </c>
      <c r="C218" s="73" t="s">
        <v>54</v>
      </c>
      <c r="D218" s="73" t="s">
        <v>18</v>
      </c>
      <c r="E218" s="23">
        <v>59.9</v>
      </c>
      <c r="F218" s="73" t="s">
        <v>36</v>
      </c>
      <c r="G218" s="155" t="str">
        <f>IFERROR(INDEX(tbCategorias[Tipo],MATCH(tbLancamentos[[#This Row],[Categoria]],tbCategorias[Categoria],0)),"Categoria?")</f>
        <v>Despesa</v>
      </c>
      <c r="H218" s="155" t="str">
        <f>IFERROR(INDEX(tbCategorias[Grupo],MATCH(tbLancamentos[[#This Row],[Categoria]],tbCategorias[Categoria],0)),"")</f>
        <v>Essencial</v>
      </c>
      <c r="I218" s="156">
        <f>IF(tbLancamentos[[#This Row],[Data]]="","",DATE(YEAR(tbLancamentos[[#This Row],[Data]]),MONTH(tbLancamentos[[#This Row],[Data]]),1))</f>
        <v>46235</v>
      </c>
    </row>
    <row r="219" spans="2:9" x14ac:dyDescent="0.35">
      <c r="B219" s="154">
        <v>46243</v>
      </c>
      <c r="C219" s="73" t="s">
        <v>80</v>
      </c>
      <c r="D219" s="73" t="s">
        <v>24</v>
      </c>
      <c r="E219" s="23">
        <v>161.13</v>
      </c>
      <c r="F219" s="73" t="s">
        <v>34</v>
      </c>
      <c r="G219" s="155" t="str">
        <f>IFERROR(INDEX(tbCategorias[Tipo],MATCH(tbLancamentos[[#This Row],[Categoria]],tbCategorias[Categoria],0)),"Categoria?")</f>
        <v>Despesa</v>
      </c>
      <c r="H219" s="155" t="str">
        <f>IFERROR(INDEX(tbCategorias[Grupo],MATCH(tbLancamentos[[#This Row],[Categoria]],tbCategorias[Categoria],0)),"")</f>
        <v>Estilo de vida</v>
      </c>
      <c r="I219" s="156">
        <f>IF(tbLancamentos[[#This Row],[Data]]="","",DATE(YEAR(tbLancamentos[[#This Row],[Data]]),MONTH(tbLancamentos[[#This Row],[Data]]),1))</f>
        <v>46235</v>
      </c>
    </row>
    <row r="220" spans="2:9" x14ac:dyDescent="0.35">
      <c r="B220" s="154">
        <v>46243</v>
      </c>
      <c r="C220" s="73" t="s">
        <v>79</v>
      </c>
      <c r="D220" s="73" t="s">
        <v>22</v>
      </c>
      <c r="E220" s="23">
        <v>135.9</v>
      </c>
      <c r="F220" s="73" t="s">
        <v>34</v>
      </c>
      <c r="G220" s="155" t="str">
        <f>IFERROR(INDEX(tbCategorias[Tipo],MATCH(tbLancamentos[[#This Row],[Categoria]],tbCategorias[Categoria],0)),"Categoria?")</f>
        <v>Despesa</v>
      </c>
      <c r="H220" s="155" t="str">
        <f>IFERROR(INDEX(tbCategorias[Grupo],MATCH(tbLancamentos[[#This Row],[Categoria]],tbCategorias[Categoria],0)),"")</f>
        <v>Estilo de vida</v>
      </c>
      <c r="I220" s="156">
        <f>IF(tbLancamentos[[#This Row],[Data]]="","",DATE(YEAR(tbLancamentos[[#This Row],[Data]]),MONTH(tbLancamentos[[#This Row],[Data]]),1))</f>
        <v>46235</v>
      </c>
    </row>
    <row r="221" spans="2:9" x14ac:dyDescent="0.35">
      <c r="B221" s="154">
        <v>46244</v>
      </c>
      <c r="C221" s="73" t="s">
        <v>55</v>
      </c>
      <c r="D221" s="73" t="s">
        <v>12</v>
      </c>
      <c r="E221" s="23">
        <v>1200</v>
      </c>
      <c r="F221" s="73" t="s">
        <v>36</v>
      </c>
      <c r="G221" s="155" t="str">
        <f>IFERROR(INDEX(tbCategorias[Tipo],MATCH(tbLancamentos[[#This Row],[Categoria]],tbCategorias[Categoria],0)),"Categoria?")</f>
        <v>Despesa</v>
      </c>
      <c r="H221" s="155" t="str">
        <f>IFERROR(INDEX(tbCategorias[Grupo],MATCH(tbLancamentos[[#This Row],[Categoria]],tbCategorias[Categoria],0)),"")</f>
        <v>Essencial</v>
      </c>
      <c r="I221" s="156">
        <f>IF(tbLancamentos[[#This Row],[Data]]="","",DATE(YEAR(tbLancamentos[[#This Row],[Data]]),MONTH(tbLancamentos[[#This Row],[Data]]),1))</f>
        <v>46235</v>
      </c>
    </row>
    <row r="222" spans="2:9" x14ac:dyDescent="0.35">
      <c r="B222" s="154">
        <v>46245</v>
      </c>
      <c r="C222" s="73" t="s">
        <v>77</v>
      </c>
      <c r="D222" s="73" t="s">
        <v>24</v>
      </c>
      <c r="E222" s="23">
        <v>99.65</v>
      </c>
      <c r="F222" s="73" t="s">
        <v>34</v>
      </c>
      <c r="G222" s="155" t="str">
        <f>IFERROR(INDEX(tbCategorias[Tipo],MATCH(tbLancamentos[[#This Row],[Categoria]],tbCategorias[Categoria],0)),"Categoria?")</f>
        <v>Despesa</v>
      </c>
      <c r="H222" s="155" t="str">
        <f>IFERROR(INDEX(tbCategorias[Grupo],MATCH(tbLancamentos[[#This Row],[Categoria]],tbCategorias[Categoria],0)),"")</f>
        <v>Estilo de vida</v>
      </c>
      <c r="I222" s="156">
        <f>IF(tbLancamentos[[#This Row],[Data]]="","",DATE(YEAR(tbLancamentos[[#This Row],[Data]]),MONTH(tbLancamentos[[#This Row],[Data]]),1))</f>
        <v>46235</v>
      </c>
    </row>
    <row r="223" spans="2:9" x14ac:dyDescent="0.35">
      <c r="B223" s="154">
        <v>46245</v>
      </c>
      <c r="C223" s="73" t="s">
        <v>56</v>
      </c>
      <c r="D223" s="73" t="s">
        <v>16</v>
      </c>
      <c r="E223" s="23">
        <v>119.65</v>
      </c>
      <c r="F223" s="73" t="s">
        <v>34</v>
      </c>
      <c r="G223" s="155" t="str">
        <f>IFERROR(INDEX(tbCategorias[Tipo],MATCH(tbLancamentos[[#This Row],[Categoria]],tbCategorias[Categoria],0)),"Categoria?")</f>
        <v>Despesa</v>
      </c>
      <c r="H223" s="155" t="str">
        <f>IFERROR(INDEX(tbCategorias[Grupo],MATCH(tbLancamentos[[#This Row],[Categoria]],tbCategorias[Categoria],0)),"")</f>
        <v>Essencial</v>
      </c>
      <c r="I223" s="156">
        <f>IF(tbLancamentos[[#This Row],[Data]]="","",DATE(YEAR(tbLancamentos[[#This Row],[Data]]),MONTH(tbLancamentos[[#This Row],[Data]]),1))</f>
        <v>46235</v>
      </c>
    </row>
    <row r="224" spans="2:9" x14ac:dyDescent="0.35">
      <c r="B224" s="154">
        <v>46246</v>
      </c>
      <c r="C224" s="73" t="s">
        <v>57</v>
      </c>
      <c r="D224" s="73" t="s">
        <v>15</v>
      </c>
      <c r="E224" s="23">
        <v>186.41</v>
      </c>
      <c r="F224" s="73" t="s">
        <v>36</v>
      </c>
      <c r="G224" s="155" t="str">
        <f>IFERROR(INDEX(tbCategorias[Tipo],MATCH(tbLancamentos[[#This Row],[Categoria]],tbCategorias[Categoria],0)),"Categoria?")</f>
        <v>Despesa</v>
      </c>
      <c r="H224" s="155" t="str">
        <f>IFERROR(INDEX(tbCategorias[Grupo],MATCH(tbLancamentos[[#This Row],[Categoria]],tbCategorias[Categoria],0)),"")</f>
        <v>Essencial</v>
      </c>
      <c r="I224" s="156">
        <f>IF(tbLancamentos[[#This Row],[Data]]="","",DATE(YEAR(tbLancamentos[[#This Row],[Data]]),MONTH(tbLancamentos[[#This Row],[Data]]),1))</f>
        <v>46235</v>
      </c>
    </row>
    <row r="225" spans="2:9" x14ac:dyDescent="0.35">
      <c r="B225" s="154">
        <v>46248</v>
      </c>
      <c r="C225" s="73" t="s">
        <v>59</v>
      </c>
      <c r="D225" s="73" t="s">
        <v>23</v>
      </c>
      <c r="E225" s="23">
        <v>44.9</v>
      </c>
      <c r="F225" s="73" t="s">
        <v>34</v>
      </c>
      <c r="G225" s="155" t="str">
        <f>IFERROR(INDEX(tbCategorias[Tipo],MATCH(tbLancamentos[[#This Row],[Categoria]],tbCategorias[Categoria],0)),"Categoria?")</f>
        <v>Despesa</v>
      </c>
      <c r="H225" s="155" t="str">
        <f>IFERROR(INDEX(tbCategorias[Grupo],MATCH(tbLancamentos[[#This Row],[Categoria]],tbCategorias[Categoria],0)),"")</f>
        <v>Estilo de vida</v>
      </c>
      <c r="I225" s="156">
        <f>IF(tbLancamentos[[#This Row],[Data]]="","",DATE(YEAR(tbLancamentos[[#This Row],[Data]]),MONTH(tbLancamentos[[#This Row],[Data]]),1))</f>
        <v>46235</v>
      </c>
    </row>
    <row r="226" spans="2:9" x14ac:dyDescent="0.35">
      <c r="B226" s="154">
        <v>46248</v>
      </c>
      <c r="C226" s="73" t="s">
        <v>60</v>
      </c>
      <c r="D226" s="73" t="s">
        <v>23</v>
      </c>
      <c r="E226" s="23">
        <v>21.9</v>
      </c>
      <c r="F226" s="73" t="s">
        <v>34</v>
      </c>
      <c r="G226" s="155" t="str">
        <f>IFERROR(INDEX(tbCategorias[Tipo],MATCH(tbLancamentos[[#This Row],[Categoria]],tbCategorias[Categoria],0)),"Categoria?")</f>
        <v>Despesa</v>
      </c>
      <c r="H226" s="155" t="str">
        <f>IFERROR(INDEX(tbCategorias[Grupo],MATCH(tbLancamentos[[#This Row],[Categoria]],tbCategorias[Categoria],0)),"")</f>
        <v>Estilo de vida</v>
      </c>
      <c r="I226" s="156">
        <f>IF(tbLancamentos[[#This Row],[Data]]="","",DATE(YEAR(tbLancamentos[[#This Row],[Data]]),MONTH(tbLancamentos[[#This Row],[Data]]),1))</f>
        <v>46235</v>
      </c>
    </row>
    <row r="227" spans="2:9" x14ac:dyDescent="0.35">
      <c r="B227" s="154">
        <v>46249</v>
      </c>
      <c r="C227" s="73" t="s">
        <v>63</v>
      </c>
      <c r="D227" s="73" t="s">
        <v>15</v>
      </c>
      <c r="E227" s="23">
        <v>94.41</v>
      </c>
      <c r="F227" s="73" t="s">
        <v>36</v>
      </c>
      <c r="G227" s="155" t="str">
        <f>IFERROR(INDEX(tbCategorias[Tipo],MATCH(tbLancamentos[[#This Row],[Categoria]],tbCategorias[Categoria],0)),"Categoria?")</f>
        <v>Despesa</v>
      </c>
      <c r="H227" s="155" t="str">
        <f>IFERROR(INDEX(tbCategorias[Grupo],MATCH(tbLancamentos[[#This Row],[Categoria]],tbCategorias[Categoria],0)),"")</f>
        <v>Essencial</v>
      </c>
      <c r="I227" s="156">
        <f>IF(tbLancamentos[[#This Row],[Data]]="","",DATE(YEAR(tbLancamentos[[#This Row],[Data]]),MONTH(tbLancamentos[[#This Row],[Data]]),1))</f>
        <v>46235</v>
      </c>
    </row>
    <row r="228" spans="2:9" x14ac:dyDescent="0.35">
      <c r="B228" s="154">
        <v>46250</v>
      </c>
      <c r="C228" s="73" t="s">
        <v>75</v>
      </c>
      <c r="D228" s="73" t="s">
        <v>22</v>
      </c>
      <c r="E228" s="23">
        <v>89.45</v>
      </c>
      <c r="F228" s="73" t="s">
        <v>37</v>
      </c>
      <c r="G228" s="155" t="str">
        <f>IFERROR(INDEX(tbCategorias[Tipo],MATCH(tbLancamentos[[#This Row],[Categoria]],tbCategorias[Categoria],0)),"Categoria?")</f>
        <v>Despesa</v>
      </c>
      <c r="H228" s="155" t="str">
        <f>IFERROR(INDEX(tbCategorias[Grupo],MATCH(tbLancamentos[[#This Row],[Categoria]],tbCategorias[Categoria],0)),"")</f>
        <v>Estilo de vida</v>
      </c>
      <c r="I228" s="156">
        <f>IF(tbLancamentos[[#This Row],[Data]]="","",DATE(YEAR(tbLancamentos[[#This Row],[Data]]),MONTH(tbLancamentos[[#This Row],[Data]]),1))</f>
        <v>46235</v>
      </c>
    </row>
    <row r="229" spans="2:9" x14ac:dyDescent="0.35">
      <c r="B229" s="154">
        <v>46250</v>
      </c>
      <c r="C229" s="73" t="s">
        <v>72</v>
      </c>
      <c r="D229" s="73" t="s">
        <v>20</v>
      </c>
      <c r="E229" s="23">
        <v>98.41</v>
      </c>
      <c r="F229" s="73" t="s">
        <v>34</v>
      </c>
      <c r="G229" s="155" t="str">
        <f>IFERROR(INDEX(tbCategorias[Tipo],MATCH(tbLancamentos[[#This Row],[Categoria]],tbCategorias[Categoria],0)),"Categoria?")</f>
        <v>Despesa</v>
      </c>
      <c r="H229" s="155" t="str">
        <f>IFERROR(INDEX(tbCategorias[Grupo],MATCH(tbLancamentos[[#This Row],[Categoria]],tbCategorias[Categoria],0)),"")</f>
        <v>Estilo de vida</v>
      </c>
      <c r="I229" s="156">
        <f>IF(tbLancamentos[[#This Row],[Data]]="","",DATE(YEAR(tbLancamentos[[#This Row],[Data]]),MONTH(tbLancamentos[[#This Row],[Data]]),1))</f>
        <v>46235</v>
      </c>
    </row>
    <row r="230" spans="2:9" x14ac:dyDescent="0.35">
      <c r="B230" s="154">
        <v>46251</v>
      </c>
      <c r="C230" s="73" t="s">
        <v>72</v>
      </c>
      <c r="D230" s="73" t="s">
        <v>20</v>
      </c>
      <c r="E230" s="23">
        <v>61.77</v>
      </c>
      <c r="F230" s="73" t="s">
        <v>34</v>
      </c>
      <c r="G230" s="155" t="str">
        <f>IFERROR(INDEX(tbCategorias[Tipo],MATCH(tbLancamentos[[#This Row],[Categoria]],tbCategorias[Categoria],0)),"Categoria?")</f>
        <v>Despesa</v>
      </c>
      <c r="H230" s="155" t="str">
        <f>IFERROR(INDEX(tbCategorias[Grupo],MATCH(tbLancamentos[[#This Row],[Categoria]],tbCategorias[Categoria],0)),"")</f>
        <v>Estilo de vida</v>
      </c>
      <c r="I230" s="156">
        <f>IF(tbLancamentos[[#This Row],[Data]]="","",DATE(YEAR(tbLancamentos[[#This Row],[Data]]),MONTH(tbLancamentos[[#This Row],[Data]]),1))</f>
        <v>46235</v>
      </c>
    </row>
    <row r="231" spans="2:9" x14ac:dyDescent="0.35">
      <c r="B231" s="154">
        <v>46252</v>
      </c>
      <c r="C231" s="73" t="s">
        <v>76</v>
      </c>
      <c r="D231" s="73" t="s">
        <v>16</v>
      </c>
      <c r="E231" s="23">
        <v>303.97000000000003</v>
      </c>
      <c r="F231" s="73" t="s">
        <v>33</v>
      </c>
      <c r="G231" s="155" t="str">
        <f>IFERROR(INDEX(tbCategorias[Tipo],MATCH(tbLancamentos[[#This Row],[Categoria]],tbCategorias[Categoria],0)),"Categoria?")</f>
        <v>Despesa</v>
      </c>
      <c r="H231" s="155" t="str">
        <f>IFERROR(INDEX(tbCategorias[Grupo],MATCH(tbLancamentos[[#This Row],[Categoria]],tbCategorias[Categoria],0)),"")</f>
        <v>Essencial</v>
      </c>
      <c r="I231" s="156">
        <f>IF(tbLancamentos[[#This Row],[Data]]="","",DATE(YEAR(tbLancamentos[[#This Row],[Data]]),MONTH(tbLancamentos[[#This Row],[Data]]),1))</f>
        <v>46235</v>
      </c>
    </row>
    <row r="232" spans="2:9" x14ac:dyDescent="0.35">
      <c r="B232" s="154">
        <v>46252</v>
      </c>
      <c r="C232" s="73" t="s">
        <v>65</v>
      </c>
      <c r="D232" s="73" t="s">
        <v>15</v>
      </c>
      <c r="E232" s="23">
        <v>99.9</v>
      </c>
      <c r="F232" s="73" t="s">
        <v>35</v>
      </c>
      <c r="G232" s="155" t="str">
        <f>IFERROR(INDEX(tbCategorias[Tipo],MATCH(tbLancamentos[[#This Row],[Categoria]],tbCategorias[Categoria],0)),"Categoria?")</f>
        <v>Despesa</v>
      </c>
      <c r="H232" s="155" t="str">
        <f>IFERROR(INDEX(tbCategorias[Grupo],MATCH(tbLancamentos[[#This Row],[Categoria]],tbCategorias[Categoria],0)),"")</f>
        <v>Essencial</v>
      </c>
      <c r="I232" s="156">
        <f>IF(tbLancamentos[[#This Row],[Data]]="","",DATE(YEAR(tbLancamentos[[#This Row],[Data]]),MONTH(tbLancamentos[[#This Row],[Data]]),1))</f>
        <v>46235</v>
      </c>
    </row>
    <row r="233" spans="2:9" x14ac:dyDescent="0.35">
      <c r="B233" s="154">
        <v>46253</v>
      </c>
      <c r="C233" s="73" t="s">
        <v>49</v>
      </c>
      <c r="D233" s="73" t="s">
        <v>17</v>
      </c>
      <c r="E233" s="23">
        <v>84.38</v>
      </c>
      <c r="F233" s="73" t="s">
        <v>34</v>
      </c>
      <c r="G233" s="155" t="str">
        <f>IFERROR(INDEX(tbCategorias[Tipo],MATCH(tbLancamentos[[#This Row],[Categoria]],tbCategorias[Categoria],0)),"Categoria?")</f>
        <v>Despesa</v>
      </c>
      <c r="H233" s="155" t="str">
        <f>IFERROR(INDEX(tbCategorias[Grupo],MATCH(tbLancamentos[[#This Row],[Categoria]],tbCategorias[Categoria],0)),"")</f>
        <v>Essencial</v>
      </c>
      <c r="I233" s="156">
        <f>IF(tbLancamentos[[#This Row],[Data]]="","",DATE(YEAR(tbLancamentos[[#This Row],[Data]]),MONTH(tbLancamentos[[#This Row],[Data]]),1))</f>
        <v>46235</v>
      </c>
    </row>
    <row r="234" spans="2:9" x14ac:dyDescent="0.35">
      <c r="B234" s="154">
        <v>46254</v>
      </c>
      <c r="C234" s="73" t="s">
        <v>67</v>
      </c>
      <c r="D234" s="73" t="s">
        <v>15</v>
      </c>
      <c r="E234" s="23">
        <v>49.9</v>
      </c>
      <c r="F234" s="73" t="s">
        <v>34</v>
      </c>
      <c r="G234" s="155" t="str">
        <f>IFERROR(INDEX(tbCategorias[Tipo],MATCH(tbLancamentos[[#This Row],[Categoria]],tbCategorias[Categoria],0)),"Categoria?")</f>
        <v>Despesa</v>
      </c>
      <c r="H234" s="155" t="str">
        <f>IFERROR(INDEX(tbCategorias[Grupo],MATCH(tbLancamentos[[#This Row],[Categoria]],tbCategorias[Categoria],0)),"")</f>
        <v>Essencial</v>
      </c>
      <c r="I234" s="156">
        <f>IF(tbLancamentos[[#This Row],[Data]]="","",DATE(YEAR(tbLancamentos[[#This Row],[Data]]),MONTH(tbLancamentos[[#This Row],[Data]]),1))</f>
        <v>46235</v>
      </c>
    </row>
    <row r="235" spans="2:9" x14ac:dyDescent="0.35">
      <c r="B235" s="154">
        <v>46254</v>
      </c>
      <c r="C235" s="73" t="s">
        <v>66</v>
      </c>
      <c r="D235" s="73" t="s">
        <v>19</v>
      </c>
      <c r="E235" s="23">
        <v>79.900000000000006</v>
      </c>
      <c r="F235" s="73" t="s">
        <v>34</v>
      </c>
      <c r="G235" s="155" t="str">
        <f>IFERROR(INDEX(tbCategorias[Tipo],MATCH(tbLancamentos[[#This Row],[Categoria]],tbCategorias[Categoria],0)),"Categoria?")</f>
        <v>Despesa</v>
      </c>
      <c r="H235" s="155" t="str">
        <f>IFERROR(INDEX(tbCategorias[Grupo],MATCH(tbLancamentos[[#This Row],[Categoria]],tbCategorias[Categoria],0)),"")</f>
        <v>Essencial</v>
      </c>
      <c r="I235" s="156">
        <f>IF(tbLancamentos[[#This Row],[Data]]="","",DATE(YEAR(tbLancamentos[[#This Row],[Data]]),MONTH(tbLancamentos[[#This Row],[Data]]),1))</f>
        <v>46235</v>
      </c>
    </row>
    <row r="236" spans="2:9" x14ac:dyDescent="0.35">
      <c r="B236" s="154">
        <v>46255</v>
      </c>
      <c r="C236" s="73" t="s">
        <v>62</v>
      </c>
      <c r="D236" s="73" t="s">
        <v>17</v>
      </c>
      <c r="E236" s="23">
        <v>39.15</v>
      </c>
      <c r="F236" s="73" t="s">
        <v>34</v>
      </c>
      <c r="G236" s="155" t="str">
        <f>IFERROR(INDEX(tbCategorias[Tipo],MATCH(tbLancamentos[[#This Row],[Categoria]],tbCategorias[Categoria],0)),"Categoria?")</f>
        <v>Despesa</v>
      </c>
      <c r="H236" s="155" t="str">
        <f>IFERROR(INDEX(tbCategorias[Grupo],MATCH(tbLancamentos[[#This Row],[Categoria]],tbCategorias[Categoria],0)),"")</f>
        <v>Essencial</v>
      </c>
      <c r="I236" s="156">
        <f>IF(tbLancamentos[[#This Row],[Data]]="","",DATE(YEAR(tbLancamentos[[#This Row],[Data]]),MONTH(tbLancamentos[[#This Row],[Data]]),1))</f>
        <v>46235</v>
      </c>
    </row>
    <row r="237" spans="2:9" x14ac:dyDescent="0.35">
      <c r="B237" s="154">
        <v>46255</v>
      </c>
      <c r="C237" s="73" t="s">
        <v>62</v>
      </c>
      <c r="D237" s="73" t="s">
        <v>17</v>
      </c>
      <c r="E237" s="23">
        <v>30.26</v>
      </c>
      <c r="F237" s="73" t="s">
        <v>34</v>
      </c>
      <c r="G237" s="155" t="str">
        <f>IFERROR(INDEX(tbCategorias[Tipo],MATCH(tbLancamentos[[#This Row],[Categoria]],tbCategorias[Categoria],0)),"Categoria?")</f>
        <v>Despesa</v>
      </c>
      <c r="H237" s="155" t="str">
        <f>IFERROR(INDEX(tbCategorias[Grupo],MATCH(tbLancamentos[[#This Row],[Categoria]],tbCategorias[Categoria],0)),"")</f>
        <v>Essencial</v>
      </c>
      <c r="I237" s="156">
        <f>IF(tbLancamentos[[#This Row],[Data]]="","",DATE(YEAR(tbLancamentos[[#This Row],[Data]]),MONTH(tbLancamentos[[#This Row],[Data]]),1))</f>
        <v>46235</v>
      </c>
    </row>
    <row r="238" spans="2:9" x14ac:dyDescent="0.35">
      <c r="B238" s="154">
        <v>46258</v>
      </c>
      <c r="C238" s="73" t="s">
        <v>82</v>
      </c>
      <c r="D238" s="73" t="s">
        <v>25</v>
      </c>
      <c r="E238" s="23">
        <v>116.77</v>
      </c>
      <c r="F238" s="73" t="s">
        <v>33</v>
      </c>
      <c r="G238" s="155" t="str">
        <f>IFERROR(INDEX(tbCategorias[Tipo],MATCH(tbLancamentos[[#This Row],[Categoria]],tbCategorias[Categoria],0)),"Categoria?")</f>
        <v>Despesa</v>
      </c>
      <c r="H238" s="155" t="str">
        <f>IFERROR(INDEX(tbCategorias[Grupo],MATCH(tbLancamentos[[#This Row],[Categoria]],tbCategorias[Categoria],0)),"")</f>
        <v>Estilo de vida</v>
      </c>
      <c r="I238" s="156">
        <f>IF(tbLancamentos[[#This Row],[Data]]="","",DATE(YEAR(tbLancamentos[[#This Row],[Data]]),MONTH(tbLancamentos[[#This Row],[Data]]),1))</f>
        <v>46235</v>
      </c>
    </row>
    <row r="239" spans="2:9" x14ac:dyDescent="0.35">
      <c r="B239" s="154">
        <v>46258</v>
      </c>
      <c r="C239" s="73" t="s">
        <v>46</v>
      </c>
      <c r="D239" s="73" t="s">
        <v>16</v>
      </c>
      <c r="E239" s="23">
        <v>199.8</v>
      </c>
      <c r="F239" s="73" t="s">
        <v>33</v>
      </c>
      <c r="G239" s="155" t="str">
        <f>IFERROR(INDEX(tbCategorias[Tipo],MATCH(tbLancamentos[[#This Row],[Categoria]],tbCategorias[Categoria],0)),"Categoria?")</f>
        <v>Despesa</v>
      </c>
      <c r="H239" s="155" t="str">
        <f>IFERROR(INDEX(tbCategorias[Grupo],MATCH(tbLancamentos[[#This Row],[Categoria]],tbCategorias[Categoria],0)),"")</f>
        <v>Essencial</v>
      </c>
      <c r="I239" s="156">
        <f>IF(tbLancamentos[[#This Row],[Data]]="","",DATE(YEAR(tbLancamentos[[#This Row],[Data]]),MONTH(tbLancamentos[[#This Row],[Data]]),1))</f>
        <v>46235</v>
      </c>
    </row>
    <row r="240" spans="2:9" x14ac:dyDescent="0.35">
      <c r="B240" s="154">
        <v>46267</v>
      </c>
      <c r="C240" s="73" t="s">
        <v>58</v>
      </c>
      <c r="D240" s="73" t="s">
        <v>24</v>
      </c>
      <c r="E240" s="23">
        <v>149.6</v>
      </c>
      <c r="F240" s="73" t="s">
        <v>34</v>
      </c>
      <c r="G240" s="155" t="str">
        <f>IFERROR(INDEX(tbCategorias[Tipo],MATCH(tbLancamentos[[#This Row],[Categoria]],tbCategorias[Categoria],0)),"Categoria?")</f>
        <v>Despesa</v>
      </c>
      <c r="H240" s="155" t="str">
        <f>IFERROR(INDEX(tbCategorias[Grupo],MATCH(tbLancamentos[[#This Row],[Categoria]],tbCategorias[Categoria],0)),"")</f>
        <v>Estilo de vida</v>
      </c>
      <c r="I240" s="156">
        <f>IF(tbLancamentos[[#This Row],[Data]]="","",DATE(YEAR(tbLancamentos[[#This Row],[Data]]),MONTH(tbLancamentos[[#This Row],[Data]]),1))</f>
        <v>46266</v>
      </c>
    </row>
    <row r="241" spans="2:9" x14ac:dyDescent="0.35">
      <c r="B241" s="154">
        <v>46268</v>
      </c>
      <c r="C241" s="73" t="s">
        <v>68</v>
      </c>
      <c r="D241" s="73" t="s">
        <v>16</v>
      </c>
      <c r="E241" s="23">
        <v>154.9</v>
      </c>
      <c r="F241" s="73" t="s">
        <v>33</v>
      </c>
      <c r="G241" s="155" t="str">
        <f>IFERROR(INDEX(tbCategorias[Tipo],MATCH(tbLancamentos[[#This Row],[Categoria]],tbCategorias[Categoria],0)),"Categoria?")</f>
        <v>Despesa</v>
      </c>
      <c r="H241" s="155" t="str">
        <f>IFERROR(INDEX(tbCategorias[Grupo],MATCH(tbLancamentos[[#This Row],[Categoria]],tbCategorias[Categoria],0)),"")</f>
        <v>Essencial</v>
      </c>
      <c r="I241" s="156">
        <f>IF(tbLancamentos[[#This Row],[Data]]="","",DATE(YEAR(tbLancamentos[[#This Row],[Data]]),MONTH(tbLancamentos[[#This Row],[Data]]),1))</f>
        <v>46266</v>
      </c>
    </row>
    <row r="242" spans="2:9" x14ac:dyDescent="0.35">
      <c r="B242" s="154">
        <v>46269</v>
      </c>
      <c r="C242" s="73" t="s">
        <v>74</v>
      </c>
      <c r="D242" s="73" t="s">
        <v>18</v>
      </c>
      <c r="E242" s="23">
        <v>44.85</v>
      </c>
      <c r="F242" s="73" t="s">
        <v>35</v>
      </c>
      <c r="G242" s="155" t="str">
        <f>IFERROR(INDEX(tbCategorias[Tipo],MATCH(tbLancamentos[[#This Row],[Categoria]],tbCategorias[Categoria],0)),"Categoria?")</f>
        <v>Despesa</v>
      </c>
      <c r="H242" s="155" t="str">
        <f>IFERROR(INDEX(tbCategorias[Grupo],MATCH(tbLancamentos[[#This Row],[Categoria]],tbCategorias[Categoria],0)),"")</f>
        <v>Essencial</v>
      </c>
      <c r="I242" s="156">
        <f>IF(tbLancamentos[[#This Row],[Data]]="","",DATE(YEAR(tbLancamentos[[#This Row],[Data]]),MONTH(tbLancamentos[[#This Row],[Data]]),1))</f>
        <v>46266</v>
      </c>
    </row>
    <row r="243" spans="2:9" x14ac:dyDescent="0.35">
      <c r="B243" s="154">
        <v>46269</v>
      </c>
      <c r="C243" s="73" t="s">
        <v>75</v>
      </c>
      <c r="D243" s="73" t="s">
        <v>22</v>
      </c>
      <c r="E243" s="23">
        <v>81.56</v>
      </c>
      <c r="F243" s="73" t="s">
        <v>34</v>
      </c>
      <c r="G243" s="155" t="str">
        <f>IFERROR(INDEX(tbCategorias[Tipo],MATCH(tbLancamentos[[#This Row],[Categoria]],tbCategorias[Categoria],0)),"Categoria?")</f>
        <v>Despesa</v>
      </c>
      <c r="H243" s="155" t="str">
        <f>IFERROR(INDEX(tbCategorias[Grupo],MATCH(tbLancamentos[[#This Row],[Categoria]],tbCategorias[Categoria],0)),"")</f>
        <v>Estilo de vida</v>
      </c>
      <c r="I243" s="156">
        <f>IF(tbLancamentos[[#This Row],[Data]]="","",DATE(YEAR(tbLancamentos[[#This Row],[Data]]),MONTH(tbLancamentos[[#This Row],[Data]]),1))</f>
        <v>46266</v>
      </c>
    </row>
    <row r="244" spans="2:9" x14ac:dyDescent="0.35">
      <c r="B244" s="154">
        <v>46270</v>
      </c>
      <c r="C244" s="73" t="s">
        <v>62</v>
      </c>
      <c r="D244" s="73" t="s">
        <v>17</v>
      </c>
      <c r="E244" s="23">
        <v>31.08</v>
      </c>
      <c r="F244" s="73" t="s">
        <v>34</v>
      </c>
      <c r="G244" s="155" t="str">
        <f>IFERROR(INDEX(tbCategorias[Tipo],MATCH(tbLancamentos[[#This Row],[Categoria]],tbCategorias[Categoria],0)),"Categoria?")</f>
        <v>Despesa</v>
      </c>
      <c r="H244" s="155" t="str">
        <f>IFERROR(INDEX(tbCategorias[Grupo],MATCH(tbLancamentos[[#This Row],[Categoria]],tbCategorias[Categoria],0)),"")</f>
        <v>Essencial</v>
      </c>
      <c r="I244" s="156">
        <f>IF(tbLancamentos[[#This Row],[Data]]="","",DATE(YEAR(tbLancamentos[[#This Row],[Data]]),MONTH(tbLancamentos[[#This Row],[Data]]),1))</f>
        <v>46266</v>
      </c>
    </row>
    <row r="245" spans="2:9" x14ac:dyDescent="0.35">
      <c r="B245" s="154">
        <v>46270</v>
      </c>
      <c r="C245" s="73" t="s">
        <v>7</v>
      </c>
      <c r="D245" s="73" t="s">
        <v>7</v>
      </c>
      <c r="E245" s="23">
        <v>5800</v>
      </c>
      <c r="F245" s="73" t="s">
        <v>33</v>
      </c>
      <c r="G245" s="155" t="str">
        <f>IFERROR(INDEX(tbCategorias[Tipo],MATCH(tbLancamentos[[#This Row],[Categoria]],tbCategorias[Categoria],0)),"Categoria?")</f>
        <v>Receita</v>
      </c>
      <c r="H245" s="155" t="str">
        <f>IFERROR(INDEX(tbCategorias[Grupo],MATCH(tbLancamentos[[#This Row],[Categoria]],tbCategorias[Categoria],0)),"")</f>
        <v>Renda</v>
      </c>
      <c r="I245" s="156">
        <f>IF(tbLancamentos[[#This Row],[Data]]="","",DATE(YEAR(tbLancamentos[[#This Row],[Data]]),MONTH(tbLancamentos[[#This Row],[Data]]),1))</f>
        <v>46266</v>
      </c>
    </row>
    <row r="246" spans="2:9" x14ac:dyDescent="0.35">
      <c r="B246" s="154">
        <v>46271</v>
      </c>
      <c r="C246" s="73" t="s">
        <v>49</v>
      </c>
      <c r="D246" s="73" t="s">
        <v>17</v>
      </c>
      <c r="E246" s="23">
        <v>121.99</v>
      </c>
      <c r="F246" s="73" t="s">
        <v>34</v>
      </c>
      <c r="G246" s="155" t="str">
        <f>IFERROR(INDEX(tbCategorias[Tipo],MATCH(tbLancamentos[[#This Row],[Categoria]],tbCategorias[Categoria],0)),"Categoria?")</f>
        <v>Despesa</v>
      </c>
      <c r="H246" s="155" t="str">
        <f>IFERROR(INDEX(tbCategorias[Grupo],MATCH(tbLancamentos[[#This Row],[Categoria]],tbCategorias[Categoria],0)),"")</f>
        <v>Essencial</v>
      </c>
      <c r="I246" s="156">
        <f>IF(tbLancamentos[[#This Row],[Data]]="","",DATE(YEAR(tbLancamentos[[#This Row],[Data]]),MONTH(tbLancamentos[[#This Row],[Data]]),1))</f>
        <v>46266</v>
      </c>
    </row>
    <row r="247" spans="2:9" x14ac:dyDescent="0.35">
      <c r="B247" s="154">
        <v>46271</v>
      </c>
      <c r="C247" s="73" t="s">
        <v>48</v>
      </c>
      <c r="D247" s="73" t="s">
        <v>20</v>
      </c>
      <c r="E247" s="23">
        <v>94.91</v>
      </c>
      <c r="F247" s="73" t="s">
        <v>34</v>
      </c>
      <c r="G247" s="155" t="str">
        <f>IFERROR(INDEX(tbCategorias[Tipo],MATCH(tbLancamentos[[#This Row],[Categoria]],tbCategorias[Categoria],0)),"Categoria?")</f>
        <v>Despesa</v>
      </c>
      <c r="H247" s="155" t="str">
        <f>IFERROR(INDEX(tbCategorias[Grupo],MATCH(tbLancamentos[[#This Row],[Categoria]],tbCategorias[Categoria],0)),"")</f>
        <v>Estilo de vida</v>
      </c>
      <c r="I247" s="156">
        <f>IF(tbLancamentos[[#This Row],[Data]]="","",DATE(YEAR(tbLancamentos[[#This Row],[Data]]),MONTH(tbLancamentos[[#This Row],[Data]]),1))</f>
        <v>46266</v>
      </c>
    </row>
    <row r="248" spans="2:9" x14ac:dyDescent="0.35">
      <c r="B248" s="154">
        <v>46272</v>
      </c>
      <c r="C248" s="73" t="s">
        <v>50</v>
      </c>
      <c r="D248" s="73" t="s">
        <v>26</v>
      </c>
      <c r="E248" s="23">
        <v>600</v>
      </c>
      <c r="F248" s="73" t="s">
        <v>33</v>
      </c>
      <c r="G248" s="155" t="str">
        <f>IFERROR(INDEX(tbCategorias[Tipo],MATCH(tbLancamentos[[#This Row],[Categoria]],tbCategorias[Categoria],0)),"Categoria?")</f>
        <v>Investimento</v>
      </c>
      <c r="H248" s="155" t="str">
        <f>IFERROR(INDEX(tbCategorias[Grupo],MATCH(tbLancamentos[[#This Row],[Categoria]],tbCategorias[Categoria],0)),"")</f>
        <v>Investimento</v>
      </c>
      <c r="I248" s="156">
        <f>IF(tbLancamentos[[#This Row],[Data]]="","",DATE(YEAR(tbLancamentos[[#This Row],[Data]]),MONTH(tbLancamentos[[#This Row],[Data]]),1))</f>
        <v>46266</v>
      </c>
    </row>
    <row r="249" spans="2:9" x14ac:dyDescent="0.35">
      <c r="B249" s="154">
        <v>46273</v>
      </c>
      <c r="C249" s="73" t="s">
        <v>52</v>
      </c>
      <c r="D249" s="73" t="s">
        <v>18</v>
      </c>
      <c r="E249" s="23">
        <v>99.9</v>
      </c>
      <c r="F249" s="73" t="s">
        <v>34</v>
      </c>
      <c r="G249" s="155" t="str">
        <f>IFERROR(INDEX(tbCategorias[Tipo],MATCH(tbLancamentos[[#This Row],[Categoria]],tbCategorias[Categoria],0)),"Categoria?")</f>
        <v>Despesa</v>
      </c>
      <c r="H249" s="155" t="str">
        <f>IFERROR(INDEX(tbCategorias[Grupo],MATCH(tbLancamentos[[#This Row],[Categoria]],tbCategorias[Categoria],0)),"")</f>
        <v>Essencial</v>
      </c>
      <c r="I249" s="156">
        <f>IF(tbLancamentos[[#This Row],[Data]]="","",DATE(YEAR(tbLancamentos[[#This Row],[Data]]),MONTH(tbLancamentos[[#This Row],[Data]]),1))</f>
        <v>46266</v>
      </c>
    </row>
    <row r="250" spans="2:9" x14ac:dyDescent="0.35">
      <c r="B250" s="154">
        <v>46273</v>
      </c>
      <c r="C250" s="73" t="s">
        <v>54</v>
      </c>
      <c r="D250" s="73" t="s">
        <v>18</v>
      </c>
      <c r="E250" s="23">
        <v>59.9</v>
      </c>
      <c r="F250" s="73" t="s">
        <v>36</v>
      </c>
      <c r="G250" s="155" t="str">
        <f>IFERROR(INDEX(tbCategorias[Tipo],MATCH(tbLancamentos[[#This Row],[Categoria]],tbCategorias[Categoria],0)),"Categoria?")</f>
        <v>Despesa</v>
      </c>
      <c r="H250" s="155" t="str">
        <f>IFERROR(INDEX(tbCategorias[Grupo],MATCH(tbLancamentos[[#This Row],[Categoria]],tbCategorias[Categoria],0)),"")</f>
        <v>Essencial</v>
      </c>
      <c r="I250" s="156">
        <f>IF(tbLancamentos[[#This Row],[Data]]="","",DATE(YEAR(tbLancamentos[[#This Row],[Data]]),MONTH(tbLancamentos[[#This Row],[Data]]),1))</f>
        <v>46266</v>
      </c>
    </row>
    <row r="251" spans="2:9" x14ac:dyDescent="0.35">
      <c r="B251" s="154">
        <v>46275</v>
      </c>
      <c r="C251" s="73" t="s">
        <v>55</v>
      </c>
      <c r="D251" s="73" t="s">
        <v>12</v>
      </c>
      <c r="E251" s="23">
        <v>1200</v>
      </c>
      <c r="F251" s="73" t="s">
        <v>36</v>
      </c>
      <c r="G251" s="155" t="str">
        <f>IFERROR(INDEX(tbCategorias[Tipo],MATCH(tbLancamentos[[#This Row],[Categoria]],tbCategorias[Categoria],0)),"Categoria?")</f>
        <v>Despesa</v>
      </c>
      <c r="H251" s="155" t="str">
        <f>IFERROR(INDEX(tbCategorias[Grupo],MATCH(tbLancamentos[[#This Row],[Categoria]],tbCategorias[Categoria],0)),"")</f>
        <v>Essencial</v>
      </c>
      <c r="I251" s="156">
        <f>IF(tbLancamentos[[#This Row],[Data]]="","",DATE(YEAR(tbLancamentos[[#This Row],[Data]]),MONTH(tbLancamentos[[#This Row],[Data]]),1))</f>
        <v>46266</v>
      </c>
    </row>
    <row r="252" spans="2:9" x14ac:dyDescent="0.35">
      <c r="B252" s="154">
        <v>46276</v>
      </c>
      <c r="C252" s="73" t="s">
        <v>46</v>
      </c>
      <c r="D252" s="73" t="s">
        <v>16</v>
      </c>
      <c r="E252" s="23">
        <v>174.82</v>
      </c>
      <c r="F252" s="73" t="s">
        <v>33</v>
      </c>
      <c r="G252" s="155" t="str">
        <f>IFERROR(INDEX(tbCategorias[Tipo],MATCH(tbLancamentos[[#This Row],[Categoria]],tbCategorias[Categoria],0)),"Categoria?")</f>
        <v>Despesa</v>
      </c>
      <c r="H252" s="155" t="str">
        <f>IFERROR(INDEX(tbCategorias[Grupo],MATCH(tbLancamentos[[#This Row],[Categoria]],tbCategorias[Categoria],0)),"")</f>
        <v>Essencial</v>
      </c>
      <c r="I252" s="156">
        <f>IF(tbLancamentos[[#This Row],[Data]]="","",DATE(YEAR(tbLancamentos[[#This Row],[Data]]),MONTH(tbLancamentos[[#This Row],[Data]]),1))</f>
        <v>46266</v>
      </c>
    </row>
    <row r="253" spans="2:9" x14ac:dyDescent="0.35">
      <c r="B253" s="154">
        <v>46277</v>
      </c>
      <c r="C253" s="73" t="s">
        <v>57</v>
      </c>
      <c r="D253" s="73" t="s">
        <v>15</v>
      </c>
      <c r="E253" s="23">
        <v>173.01</v>
      </c>
      <c r="F253" s="73" t="s">
        <v>36</v>
      </c>
      <c r="G253" s="155" t="str">
        <f>IFERROR(INDEX(tbCategorias[Tipo],MATCH(tbLancamentos[[#This Row],[Categoria]],tbCategorias[Categoria],0)),"Categoria?")</f>
        <v>Despesa</v>
      </c>
      <c r="H253" s="155" t="str">
        <f>IFERROR(INDEX(tbCategorias[Grupo],MATCH(tbLancamentos[[#This Row],[Categoria]],tbCategorias[Categoria],0)),"")</f>
        <v>Essencial</v>
      </c>
      <c r="I253" s="156">
        <f>IF(tbLancamentos[[#This Row],[Data]]="","",DATE(YEAR(tbLancamentos[[#This Row],[Data]]),MONTH(tbLancamentos[[#This Row],[Data]]),1))</f>
        <v>46266</v>
      </c>
    </row>
    <row r="254" spans="2:9" x14ac:dyDescent="0.35">
      <c r="B254" s="154">
        <v>46279</v>
      </c>
      <c r="C254" s="73" t="s">
        <v>59</v>
      </c>
      <c r="D254" s="73" t="s">
        <v>23</v>
      </c>
      <c r="E254" s="23">
        <v>44.9</v>
      </c>
      <c r="F254" s="73" t="s">
        <v>34</v>
      </c>
      <c r="G254" s="155" t="str">
        <f>IFERROR(INDEX(tbCategorias[Tipo],MATCH(tbLancamentos[[#This Row],[Categoria]],tbCategorias[Categoria],0)),"Categoria?")</f>
        <v>Despesa</v>
      </c>
      <c r="H254" s="155" t="str">
        <f>IFERROR(INDEX(tbCategorias[Grupo],MATCH(tbLancamentos[[#This Row],[Categoria]],tbCategorias[Categoria],0)),"")</f>
        <v>Estilo de vida</v>
      </c>
      <c r="I254" s="156">
        <f>IF(tbLancamentos[[#This Row],[Data]]="","",DATE(YEAR(tbLancamentos[[#This Row],[Data]]),MONTH(tbLancamentos[[#This Row],[Data]]),1))</f>
        <v>46266</v>
      </c>
    </row>
    <row r="255" spans="2:9" x14ac:dyDescent="0.35">
      <c r="B255" s="154">
        <v>46279</v>
      </c>
      <c r="C255" s="73" t="s">
        <v>60</v>
      </c>
      <c r="D255" s="73" t="s">
        <v>23</v>
      </c>
      <c r="E255" s="23">
        <v>21.9</v>
      </c>
      <c r="F255" s="73" t="s">
        <v>34</v>
      </c>
      <c r="G255" s="155" t="str">
        <f>IFERROR(INDEX(tbCategorias[Tipo],MATCH(tbLancamentos[[#This Row],[Categoria]],tbCategorias[Categoria],0)),"Categoria?")</f>
        <v>Despesa</v>
      </c>
      <c r="H255" s="155" t="str">
        <f>IFERROR(INDEX(tbCategorias[Grupo],MATCH(tbLancamentos[[#This Row],[Categoria]],tbCategorias[Categoria],0)),"")</f>
        <v>Estilo de vida</v>
      </c>
      <c r="I255" s="156">
        <f>IF(tbLancamentos[[#This Row],[Data]]="","",DATE(YEAR(tbLancamentos[[#This Row],[Data]]),MONTH(tbLancamentos[[#This Row],[Data]]),1))</f>
        <v>46266</v>
      </c>
    </row>
    <row r="256" spans="2:9" x14ac:dyDescent="0.35">
      <c r="B256" s="154">
        <v>46280</v>
      </c>
      <c r="C256" s="73" t="s">
        <v>75</v>
      </c>
      <c r="D256" s="73" t="s">
        <v>22</v>
      </c>
      <c r="E256" s="23">
        <v>161.47</v>
      </c>
      <c r="F256" s="73" t="s">
        <v>34</v>
      </c>
      <c r="G256" s="155" t="str">
        <f>IFERROR(INDEX(tbCategorias[Tipo],MATCH(tbLancamentos[[#This Row],[Categoria]],tbCategorias[Categoria],0)),"Categoria?")</f>
        <v>Despesa</v>
      </c>
      <c r="H256" s="155" t="str">
        <f>IFERROR(INDEX(tbCategorias[Grupo],MATCH(tbLancamentos[[#This Row],[Categoria]],tbCategorias[Categoria],0)),"")</f>
        <v>Estilo de vida</v>
      </c>
      <c r="I256" s="156">
        <f>IF(tbLancamentos[[#This Row],[Data]]="","",DATE(YEAR(tbLancamentos[[#This Row],[Data]]),MONTH(tbLancamentos[[#This Row],[Data]]),1))</f>
        <v>46266</v>
      </c>
    </row>
    <row r="257" spans="2:9" x14ac:dyDescent="0.35">
      <c r="B257" s="154">
        <v>46280</v>
      </c>
      <c r="C257" s="73" t="s">
        <v>63</v>
      </c>
      <c r="D257" s="73" t="s">
        <v>15</v>
      </c>
      <c r="E257" s="23">
        <v>89.71</v>
      </c>
      <c r="F257" s="73" t="s">
        <v>36</v>
      </c>
      <c r="G257" s="155" t="str">
        <f>IFERROR(INDEX(tbCategorias[Tipo],MATCH(tbLancamentos[[#This Row],[Categoria]],tbCategorias[Categoria],0)),"Categoria?")</f>
        <v>Despesa</v>
      </c>
      <c r="H257" s="155" t="str">
        <f>IFERROR(INDEX(tbCategorias[Grupo],MATCH(tbLancamentos[[#This Row],[Categoria]],tbCategorias[Categoria],0)),"")</f>
        <v>Essencial</v>
      </c>
      <c r="I257" s="156">
        <f>IF(tbLancamentos[[#This Row],[Data]]="","",DATE(YEAR(tbLancamentos[[#This Row],[Data]]),MONTH(tbLancamentos[[#This Row],[Data]]),1))</f>
        <v>46266</v>
      </c>
    </row>
    <row r="258" spans="2:9" x14ac:dyDescent="0.35">
      <c r="B258" s="154">
        <v>46282</v>
      </c>
      <c r="C258" s="73" t="s">
        <v>82</v>
      </c>
      <c r="D258" s="73" t="s">
        <v>25</v>
      </c>
      <c r="E258" s="23">
        <v>75.739999999999995</v>
      </c>
      <c r="F258" s="73" t="s">
        <v>33</v>
      </c>
      <c r="G258" s="155" t="str">
        <f>IFERROR(INDEX(tbCategorias[Tipo],MATCH(tbLancamentos[[#This Row],[Categoria]],tbCategorias[Categoria],0)),"Categoria?")</f>
        <v>Despesa</v>
      </c>
      <c r="H258" s="155" t="str">
        <f>IFERROR(INDEX(tbCategorias[Grupo],MATCH(tbLancamentos[[#This Row],[Categoria]],tbCategorias[Categoria],0)),"")</f>
        <v>Estilo de vida</v>
      </c>
      <c r="I258" s="156">
        <f>IF(tbLancamentos[[#This Row],[Data]]="","",DATE(YEAR(tbLancamentos[[#This Row],[Data]]),MONTH(tbLancamentos[[#This Row],[Data]]),1))</f>
        <v>46266</v>
      </c>
    </row>
    <row r="259" spans="2:9" x14ac:dyDescent="0.35">
      <c r="B259" s="154">
        <v>46282</v>
      </c>
      <c r="C259" s="73" t="s">
        <v>61</v>
      </c>
      <c r="D259" s="73" t="s">
        <v>20</v>
      </c>
      <c r="E259" s="23">
        <v>107.23</v>
      </c>
      <c r="F259" s="73" t="s">
        <v>34</v>
      </c>
      <c r="G259" s="155" t="str">
        <f>IFERROR(INDEX(tbCategorias[Tipo],MATCH(tbLancamentos[[#This Row],[Categoria]],tbCategorias[Categoria],0)),"Categoria?")</f>
        <v>Despesa</v>
      </c>
      <c r="H259" s="155" t="str">
        <f>IFERROR(INDEX(tbCategorias[Grupo],MATCH(tbLancamentos[[#This Row],[Categoria]],tbCategorias[Categoria],0)),"")</f>
        <v>Estilo de vida</v>
      </c>
      <c r="I259" s="156">
        <f>IF(tbLancamentos[[#This Row],[Data]]="","",DATE(YEAR(tbLancamentos[[#This Row],[Data]]),MONTH(tbLancamentos[[#This Row],[Data]]),1))</f>
        <v>46266</v>
      </c>
    </row>
    <row r="260" spans="2:9" x14ac:dyDescent="0.35">
      <c r="B260" s="154">
        <v>46282</v>
      </c>
      <c r="C260" s="73" t="s">
        <v>56</v>
      </c>
      <c r="D260" s="73" t="s">
        <v>16</v>
      </c>
      <c r="E260" s="23">
        <v>214.96</v>
      </c>
      <c r="F260" s="73" t="s">
        <v>33</v>
      </c>
      <c r="G260" s="155" t="str">
        <f>IFERROR(INDEX(tbCategorias[Tipo],MATCH(tbLancamentos[[#This Row],[Categoria]],tbCategorias[Categoria],0)),"Categoria?")</f>
        <v>Despesa</v>
      </c>
      <c r="H260" s="155" t="str">
        <f>IFERROR(INDEX(tbCategorias[Grupo],MATCH(tbLancamentos[[#This Row],[Categoria]],tbCategorias[Categoria],0)),"")</f>
        <v>Essencial</v>
      </c>
      <c r="I260" s="156">
        <f>IF(tbLancamentos[[#This Row],[Data]]="","",DATE(YEAR(tbLancamentos[[#This Row],[Data]]),MONTH(tbLancamentos[[#This Row],[Data]]),1))</f>
        <v>46266</v>
      </c>
    </row>
    <row r="261" spans="2:9" x14ac:dyDescent="0.35">
      <c r="B261" s="154">
        <v>46282</v>
      </c>
      <c r="C261" s="73" t="s">
        <v>62</v>
      </c>
      <c r="D261" s="73" t="s">
        <v>17</v>
      </c>
      <c r="E261" s="23">
        <v>25.43</v>
      </c>
      <c r="F261" s="73" t="s">
        <v>34</v>
      </c>
      <c r="G261" s="155" t="str">
        <f>IFERROR(INDEX(tbCategorias[Tipo],MATCH(tbLancamentos[[#This Row],[Categoria]],tbCategorias[Categoria],0)),"Categoria?")</f>
        <v>Despesa</v>
      </c>
      <c r="H261" s="155" t="str">
        <f>IFERROR(INDEX(tbCategorias[Grupo],MATCH(tbLancamentos[[#This Row],[Categoria]],tbCategorias[Categoria],0)),"")</f>
        <v>Essencial</v>
      </c>
      <c r="I261" s="156">
        <f>IF(tbLancamentos[[#This Row],[Data]]="","",DATE(YEAR(tbLancamentos[[#This Row],[Data]]),MONTH(tbLancamentos[[#This Row],[Data]]),1))</f>
        <v>46266</v>
      </c>
    </row>
    <row r="262" spans="2:9" x14ac:dyDescent="0.35">
      <c r="B262" s="154">
        <v>46283</v>
      </c>
      <c r="C262" s="73" t="s">
        <v>81</v>
      </c>
      <c r="D262" s="73" t="s">
        <v>26</v>
      </c>
      <c r="E262" s="23">
        <v>417.04</v>
      </c>
      <c r="F262" s="73" t="s">
        <v>33</v>
      </c>
      <c r="G262" s="155" t="str">
        <f>IFERROR(INDEX(tbCategorias[Tipo],MATCH(tbLancamentos[[#This Row],[Categoria]],tbCategorias[Categoria],0)),"Categoria?")</f>
        <v>Investimento</v>
      </c>
      <c r="H262" s="155" t="str">
        <f>IFERROR(INDEX(tbCategorias[Grupo],MATCH(tbLancamentos[[#This Row],[Categoria]],tbCategorias[Categoria],0)),"")</f>
        <v>Investimento</v>
      </c>
      <c r="I262" s="156">
        <f>IF(tbLancamentos[[#This Row],[Data]]="","",DATE(YEAR(tbLancamentos[[#This Row],[Data]]),MONTH(tbLancamentos[[#This Row],[Data]]),1))</f>
        <v>46266</v>
      </c>
    </row>
    <row r="263" spans="2:9" x14ac:dyDescent="0.35">
      <c r="B263" s="154">
        <v>46283</v>
      </c>
      <c r="C263" s="73" t="s">
        <v>65</v>
      </c>
      <c r="D263" s="73" t="s">
        <v>15</v>
      </c>
      <c r="E263" s="23">
        <v>99.9</v>
      </c>
      <c r="F263" s="73" t="s">
        <v>35</v>
      </c>
      <c r="G263" s="155" t="str">
        <f>IFERROR(INDEX(tbCategorias[Tipo],MATCH(tbLancamentos[[#This Row],[Categoria]],tbCategorias[Categoria],0)),"Categoria?")</f>
        <v>Despesa</v>
      </c>
      <c r="H263" s="155" t="str">
        <f>IFERROR(INDEX(tbCategorias[Grupo],MATCH(tbLancamentos[[#This Row],[Categoria]],tbCategorias[Categoria],0)),"")</f>
        <v>Essencial</v>
      </c>
      <c r="I263" s="156">
        <f>IF(tbLancamentos[[#This Row],[Data]]="","",DATE(YEAR(tbLancamentos[[#This Row],[Data]]),MONTH(tbLancamentos[[#This Row],[Data]]),1))</f>
        <v>46266</v>
      </c>
    </row>
    <row r="264" spans="2:9" x14ac:dyDescent="0.35">
      <c r="B264" s="154">
        <v>46284</v>
      </c>
      <c r="C264" s="73" t="s">
        <v>49</v>
      </c>
      <c r="D264" s="73" t="s">
        <v>17</v>
      </c>
      <c r="E264" s="23">
        <v>106.14</v>
      </c>
      <c r="F264" s="73" t="s">
        <v>34</v>
      </c>
      <c r="G264" s="155" t="str">
        <f>IFERROR(INDEX(tbCategorias[Tipo],MATCH(tbLancamentos[[#This Row],[Categoria]],tbCategorias[Categoria],0)),"Categoria?")</f>
        <v>Despesa</v>
      </c>
      <c r="H264" s="155" t="str">
        <f>IFERROR(INDEX(tbCategorias[Grupo],MATCH(tbLancamentos[[#This Row],[Categoria]],tbCategorias[Categoria],0)),"")</f>
        <v>Essencial</v>
      </c>
      <c r="I264" s="156">
        <f>IF(tbLancamentos[[#This Row],[Data]]="","",DATE(YEAR(tbLancamentos[[#This Row],[Data]]),MONTH(tbLancamentos[[#This Row],[Data]]),1))</f>
        <v>46266</v>
      </c>
    </row>
    <row r="265" spans="2:9" x14ac:dyDescent="0.35">
      <c r="B265" s="154">
        <v>46285</v>
      </c>
      <c r="C265" s="73" t="s">
        <v>67</v>
      </c>
      <c r="D265" s="73" t="s">
        <v>15</v>
      </c>
      <c r="E265" s="23">
        <v>49.9</v>
      </c>
      <c r="F265" s="73" t="s">
        <v>34</v>
      </c>
      <c r="G265" s="155" t="str">
        <f>IFERROR(INDEX(tbCategorias[Tipo],MATCH(tbLancamentos[[#This Row],[Categoria]],tbCategorias[Categoria],0)),"Categoria?")</f>
        <v>Despesa</v>
      </c>
      <c r="H265" s="155" t="str">
        <f>IFERROR(INDEX(tbCategorias[Grupo],MATCH(tbLancamentos[[#This Row],[Categoria]],tbCategorias[Categoria],0)),"")</f>
        <v>Essencial</v>
      </c>
      <c r="I265" s="156">
        <f>IF(tbLancamentos[[#This Row],[Data]]="","",DATE(YEAR(tbLancamentos[[#This Row],[Data]]),MONTH(tbLancamentos[[#This Row],[Data]]),1))</f>
        <v>46266</v>
      </c>
    </row>
    <row r="266" spans="2:9" x14ac:dyDescent="0.35">
      <c r="B266" s="154">
        <v>46285</v>
      </c>
      <c r="C266" s="73" t="s">
        <v>66</v>
      </c>
      <c r="D266" s="73" t="s">
        <v>19</v>
      </c>
      <c r="E266" s="23">
        <v>79.900000000000006</v>
      </c>
      <c r="F266" s="73" t="s">
        <v>34</v>
      </c>
      <c r="G266" s="155" t="str">
        <f>IFERROR(INDEX(tbCategorias[Tipo],MATCH(tbLancamentos[[#This Row],[Categoria]],tbCategorias[Categoria],0)),"Categoria?")</f>
        <v>Despesa</v>
      </c>
      <c r="H266" s="155" t="str">
        <f>IFERROR(INDEX(tbCategorias[Grupo],MATCH(tbLancamentos[[#This Row],[Categoria]],tbCategorias[Categoria],0)),"")</f>
        <v>Essencial</v>
      </c>
      <c r="I266" s="156">
        <f>IF(tbLancamentos[[#This Row],[Data]]="","",DATE(YEAR(tbLancamentos[[#This Row],[Data]]),MONTH(tbLancamentos[[#This Row],[Data]]),1))</f>
        <v>46266</v>
      </c>
    </row>
    <row r="267" spans="2:9" x14ac:dyDescent="0.35">
      <c r="B267" s="154">
        <v>46287</v>
      </c>
      <c r="C267" s="73" t="s">
        <v>48</v>
      </c>
      <c r="D267" s="73" t="s">
        <v>20</v>
      </c>
      <c r="E267" s="23">
        <v>42.18</v>
      </c>
      <c r="F267" s="73" t="s">
        <v>33</v>
      </c>
      <c r="G267" s="155" t="str">
        <f>IFERROR(INDEX(tbCategorias[Tipo],MATCH(tbLancamentos[[#This Row],[Categoria]],tbCategorias[Categoria],0)),"Categoria?")</f>
        <v>Despesa</v>
      </c>
      <c r="H267" s="155" t="str">
        <f>IFERROR(INDEX(tbCategorias[Grupo],MATCH(tbLancamentos[[#This Row],[Categoria]],tbCategorias[Categoria],0)),"")</f>
        <v>Estilo de vida</v>
      </c>
      <c r="I267" s="156">
        <f>IF(tbLancamentos[[#This Row],[Data]]="","",DATE(YEAR(tbLancamentos[[#This Row],[Data]]),MONTH(tbLancamentos[[#This Row],[Data]]),1))</f>
        <v>46266</v>
      </c>
    </row>
    <row r="268" spans="2:9" x14ac:dyDescent="0.35">
      <c r="B268" s="154">
        <v>46288</v>
      </c>
      <c r="C268" s="73" t="s">
        <v>48</v>
      </c>
      <c r="D268" s="73" t="s">
        <v>20</v>
      </c>
      <c r="E268" s="23">
        <v>68.599999999999994</v>
      </c>
      <c r="F268" s="73" t="s">
        <v>34</v>
      </c>
      <c r="G268" s="155" t="str">
        <f>IFERROR(INDEX(tbCategorias[Tipo],MATCH(tbLancamentos[[#This Row],[Categoria]],tbCategorias[Categoria],0)),"Categoria?")</f>
        <v>Despesa</v>
      </c>
      <c r="H268" s="155" t="str">
        <f>IFERROR(INDEX(tbCategorias[Grupo],MATCH(tbLancamentos[[#This Row],[Categoria]],tbCategorias[Categoria],0)),"")</f>
        <v>Estilo de vida</v>
      </c>
      <c r="I268" s="156">
        <f>IF(tbLancamentos[[#This Row],[Data]]="","",DATE(YEAR(tbLancamentos[[#This Row],[Data]]),MONTH(tbLancamentos[[#This Row],[Data]]),1))</f>
        <v>46266</v>
      </c>
    </row>
    <row r="269" spans="2:9" x14ac:dyDescent="0.35">
      <c r="B269" s="154">
        <v>46289</v>
      </c>
      <c r="C269" s="73" t="s">
        <v>56</v>
      </c>
      <c r="D269" s="73" t="s">
        <v>16</v>
      </c>
      <c r="E269" s="23">
        <v>167.77</v>
      </c>
      <c r="F269" s="73" t="s">
        <v>35</v>
      </c>
      <c r="G269" s="155" t="str">
        <f>IFERROR(INDEX(tbCategorias[Tipo],MATCH(tbLancamentos[[#This Row],[Categoria]],tbCategorias[Categoria],0)),"Categoria?")</f>
        <v>Despesa</v>
      </c>
      <c r="H269" s="155" t="str">
        <f>IFERROR(INDEX(tbCategorias[Grupo],MATCH(tbLancamentos[[#This Row],[Categoria]],tbCategorias[Categoria],0)),"")</f>
        <v>Essencial</v>
      </c>
      <c r="I269" s="156">
        <f>IF(tbLancamentos[[#This Row],[Data]]="","",DATE(YEAR(tbLancamentos[[#This Row],[Data]]),MONTH(tbLancamentos[[#This Row],[Data]]),1))</f>
        <v>46266</v>
      </c>
    </row>
    <row r="270" spans="2:9" x14ac:dyDescent="0.35">
      <c r="B270" s="154">
        <v>46296</v>
      </c>
      <c r="C270" s="73" t="s">
        <v>64</v>
      </c>
      <c r="D270" s="73" t="s">
        <v>22</v>
      </c>
      <c r="E270" s="23">
        <v>75.290000000000006</v>
      </c>
      <c r="F270" s="73" t="s">
        <v>34</v>
      </c>
      <c r="G270" s="155" t="str">
        <f>IFERROR(INDEX(tbCategorias[Tipo],MATCH(tbLancamentos[[#This Row],[Categoria]],tbCategorias[Categoria],0)),"Categoria?")</f>
        <v>Despesa</v>
      </c>
      <c r="H270" s="155" t="str">
        <f>IFERROR(INDEX(tbCategorias[Grupo],MATCH(tbLancamentos[[#This Row],[Categoria]],tbCategorias[Categoria],0)),"")</f>
        <v>Estilo de vida</v>
      </c>
      <c r="I270" s="156">
        <f>IF(tbLancamentos[[#This Row],[Data]]="","",DATE(YEAR(tbLancamentos[[#This Row],[Data]]),MONTH(tbLancamentos[[#This Row],[Data]]),1))</f>
        <v>46296</v>
      </c>
    </row>
    <row r="271" spans="2:9" x14ac:dyDescent="0.35">
      <c r="B271" s="154">
        <v>46299</v>
      </c>
      <c r="C271" s="73" t="s">
        <v>61</v>
      </c>
      <c r="D271" s="73" t="s">
        <v>20</v>
      </c>
      <c r="E271" s="23">
        <v>71.83</v>
      </c>
      <c r="F271" s="73" t="s">
        <v>34</v>
      </c>
      <c r="G271" s="155" t="str">
        <f>IFERROR(INDEX(tbCategorias[Tipo],MATCH(tbLancamentos[[#This Row],[Categoria]],tbCategorias[Categoria],0)),"Categoria?")</f>
        <v>Despesa</v>
      </c>
      <c r="H271" s="155" t="str">
        <f>IFERROR(INDEX(tbCategorias[Grupo],MATCH(tbLancamentos[[#This Row],[Categoria]],tbCategorias[Categoria],0)),"")</f>
        <v>Estilo de vida</v>
      </c>
      <c r="I271" s="156">
        <f>IF(tbLancamentos[[#This Row],[Data]]="","",DATE(YEAR(tbLancamentos[[#This Row],[Data]]),MONTH(tbLancamentos[[#This Row],[Data]]),1))</f>
        <v>46296</v>
      </c>
    </row>
    <row r="272" spans="2:9" x14ac:dyDescent="0.35">
      <c r="B272" s="154">
        <v>46299</v>
      </c>
      <c r="C272" s="73" t="s">
        <v>46</v>
      </c>
      <c r="D272" s="73" t="s">
        <v>16</v>
      </c>
      <c r="E272" s="23">
        <v>318.36</v>
      </c>
      <c r="F272" s="73" t="s">
        <v>34</v>
      </c>
      <c r="G272" s="155" t="str">
        <f>IFERROR(INDEX(tbCategorias[Tipo],MATCH(tbLancamentos[[#This Row],[Categoria]],tbCategorias[Categoria],0)),"Categoria?")</f>
        <v>Despesa</v>
      </c>
      <c r="H272" s="155" t="str">
        <f>IFERROR(INDEX(tbCategorias[Grupo],MATCH(tbLancamentos[[#This Row],[Categoria]],tbCategorias[Categoria],0)),"")</f>
        <v>Essencial</v>
      </c>
      <c r="I272" s="156">
        <f>IF(tbLancamentos[[#This Row],[Data]]="","",DATE(YEAR(tbLancamentos[[#This Row],[Data]]),MONTH(tbLancamentos[[#This Row],[Data]]),1))</f>
        <v>46296</v>
      </c>
    </row>
    <row r="273" spans="2:9" x14ac:dyDescent="0.35">
      <c r="B273" s="154">
        <v>46300</v>
      </c>
      <c r="C273" s="73" t="s">
        <v>7</v>
      </c>
      <c r="D273" s="73" t="s">
        <v>7</v>
      </c>
      <c r="E273" s="23">
        <v>5800</v>
      </c>
      <c r="F273" s="73" t="s">
        <v>33</v>
      </c>
      <c r="G273" s="155" t="str">
        <f>IFERROR(INDEX(tbCategorias[Tipo],MATCH(tbLancamentos[[#This Row],[Categoria]],tbCategorias[Categoria],0)),"Categoria?")</f>
        <v>Receita</v>
      </c>
      <c r="H273" s="155" t="str">
        <f>IFERROR(INDEX(tbCategorias[Grupo],MATCH(tbLancamentos[[#This Row],[Categoria]],tbCategorias[Categoria],0)),"")</f>
        <v>Renda</v>
      </c>
      <c r="I273" s="156">
        <f>IF(tbLancamentos[[#This Row],[Data]]="","",DATE(YEAR(tbLancamentos[[#This Row],[Data]]),MONTH(tbLancamentos[[#This Row],[Data]]),1))</f>
        <v>46296</v>
      </c>
    </row>
    <row r="274" spans="2:9" x14ac:dyDescent="0.35">
      <c r="B274" s="154">
        <v>46301</v>
      </c>
      <c r="C274" s="73" t="s">
        <v>49</v>
      </c>
      <c r="D274" s="73" t="s">
        <v>17</v>
      </c>
      <c r="E274" s="23">
        <v>98.8</v>
      </c>
      <c r="F274" s="73" t="s">
        <v>34</v>
      </c>
      <c r="G274" s="155" t="str">
        <f>IFERROR(INDEX(tbCategorias[Tipo],MATCH(tbLancamentos[[#This Row],[Categoria]],tbCategorias[Categoria],0)),"Categoria?")</f>
        <v>Despesa</v>
      </c>
      <c r="H274" s="155" t="str">
        <f>IFERROR(INDEX(tbCategorias[Grupo],MATCH(tbLancamentos[[#This Row],[Categoria]],tbCategorias[Categoria],0)),"")</f>
        <v>Essencial</v>
      </c>
      <c r="I274" s="156">
        <f>IF(tbLancamentos[[#This Row],[Data]]="","",DATE(YEAR(tbLancamentos[[#This Row],[Data]]),MONTH(tbLancamentos[[#This Row],[Data]]),1))</f>
        <v>46296</v>
      </c>
    </row>
    <row r="275" spans="2:9" x14ac:dyDescent="0.35">
      <c r="B275" s="154">
        <v>46301</v>
      </c>
      <c r="C275" s="73" t="s">
        <v>51</v>
      </c>
      <c r="D275" s="73" t="s">
        <v>22</v>
      </c>
      <c r="E275" s="23">
        <v>102.82</v>
      </c>
      <c r="F275" s="73" t="s">
        <v>37</v>
      </c>
      <c r="G275" s="155" t="str">
        <f>IFERROR(INDEX(tbCategorias[Tipo],MATCH(tbLancamentos[[#This Row],[Categoria]],tbCategorias[Categoria],0)),"Categoria?")</f>
        <v>Despesa</v>
      </c>
      <c r="H275" s="155" t="str">
        <f>IFERROR(INDEX(tbCategorias[Grupo],MATCH(tbLancamentos[[#This Row],[Categoria]],tbCategorias[Categoria],0)),"")</f>
        <v>Estilo de vida</v>
      </c>
      <c r="I275" s="156">
        <f>IF(tbLancamentos[[#This Row],[Data]]="","",DATE(YEAR(tbLancamentos[[#This Row],[Data]]),MONTH(tbLancamentos[[#This Row],[Data]]),1))</f>
        <v>46296</v>
      </c>
    </row>
    <row r="276" spans="2:9" x14ac:dyDescent="0.35">
      <c r="B276" s="154">
        <v>46302</v>
      </c>
      <c r="C276" s="73" t="s">
        <v>50</v>
      </c>
      <c r="D276" s="73" t="s">
        <v>26</v>
      </c>
      <c r="E276" s="23">
        <v>600</v>
      </c>
      <c r="F276" s="73" t="s">
        <v>33</v>
      </c>
      <c r="G276" s="155" t="str">
        <f>IFERROR(INDEX(tbCategorias[Tipo],MATCH(tbLancamentos[[#This Row],[Categoria]],tbCategorias[Categoria],0)),"Categoria?")</f>
        <v>Investimento</v>
      </c>
      <c r="H276" s="155" t="str">
        <f>IFERROR(INDEX(tbCategorias[Grupo],MATCH(tbLancamentos[[#This Row],[Categoria]],tbCategorias[Categoria],0)),"")</f>
        <v>Investimento</v>
      </c>
      <c r="I276" s="156">
        <f>IF(tbLancamentos[[#This Row],[Data]]="","",DATE(YEAR(tbLancamentos[[#This Row],[Data]]),MONTH(tbLancamentos[[#This Row],[Data]]),1))</f>
        <v>46296</v>
      </c>
    </row>
    <row r="277" spans="2:9" x14ac:dyDescent="0.35">
      <c r="B277" s="154">
        <v>46303</v>
      </c>
      <c r="C277" s="73" t="s">
        <v>52</v>
      </c>
      <c r="D277" s="73" t="s">
        <v>18</v>
      </c>
      <c r="E277" s="23">
        <v>99.9</v>
      </c>
      <c r="F277" s="73" t="s">
        <v>34</v>
      </c>
      <c r="G277" s="155" t="str">
        <f>IFERROR(INDEX(tbCategorias[Tipo],MATCH(tbLancamentos[[#This Row],[Categoria]],tbCategorias[Categoria],0)),"Categoria?")</f>
        <v>Despesa</v>
      </c>
      <c r="H277" s="155" t="str">
        <f>IFERROR(INDEX(tbCategorias[Grupo],MATCH(tbLancamentos[[#This Row],[Categoria]],tbCategorias[Categoria],0)),"")</f>
        <v>Essencial</v>
      </c>
      <c r="I277" s="156">
        <f>IF(tbLancamentos[[#This Row],[Data]]="","",DATE(YEAR(tbLancamentos[[#This Row],[Data]]),MONTH(tbLancamentos[[#This Row],[Data]]),1))</f>
        <v>46296</v>
      </c>
    </row>
    <row r="278" spans="2:9" x14ac:dyDescent="0.35">
      <c r="B278" s="154">
        <v>46303</v>
      </c>
      <c r="C278" s="73" t="s">
        <v>54</v>
      </c>
      <c r="D278" s="73" t="s">
        <v>18</v>
      </c>
      <c r="E278" s="23">
        <v>59.9</v>
      </c>
      <c r="F278" s="73" t="s">
        <v>36</v>
      </c>
      <c r="G278" s="155" t="str">
        <f>IFERROR(INDEX(tbCategorias[Tipo],MATCH(tbLancamentos[[#This Row],[Categoria]],tbCategorias[Categoria],0)),"Categoria?")</f>
        <v>Despesa</v>
      </c>
      <c r="H278" s="155" t="str">
        <f>IFERROR(INDEX(tbCategorias[Grupo],MATCH(tbLancamentos[[#This Row],[Categoria]],tbCategorias[Categoria],0)),"")</f>
        <v>Essencial</v>
      </c>
      <c r="I278" s="156">
        <f>IF(tbLancamentos[[#This Row],[Data]]="","",DATE(YEAR(tbLancamentos[[#This Row],[Data]]),MONTH(tbLancamentos[[#This Row],[Data]]),1))</f>
        <v>46296</v>
      </c>
    </row>
    <row r="279" spans="2:9" x14ac:dyDescent="0.35">
      <c r="B279" s="154">
        <v>46305</v>
      </c>
      <c r="C279" s="73" t="s">
        <v>55</v>
      </c>
      <c r="D279" s="73" t="s">
        <v>12</v>
      </c>
      <c r="E279" s="23">
        <v>1200</v>
      </c>
      <c r="F279" s="73" t="s">
        <v>36</v>
      </c>
      <c r="G279" s="155" t="str">
        <f>IFERROR(INDEX(tbCategorias[Tipo],MATCH(tbLancamentos[[#This Row],[Categoria]],tbCategorias[Categoria],0)),"Categoria?")</f>
        <v>Despesa</v>
      </c>
      <c r="H279" s="155" t="str">
        <f>IFERROR(INDEX(tbCategorias[Grupo],MATCH(tbLancamentos[[#This Row],[Categoria]],tbCategorias[Categoria],0)),"")</f>
        <v>Essencial</v>
      </c>
      <c r="I279" s="156">
        <f>IF(tbLancamentos[[#This Row],[Data]]="","",DATE(YEAR(tbLancamentos[[#This Row],[Data]]),MONTH(tbLancamentos[[#This Row],[Data]]),1))</f>
        <v>46296</v>
      </c>
    </row>
    <row r="280" spans="2:9" x14ac:dyDescent="0.35">
      <c r="B280" s="154">
        <v>46306</v>
      </c>
      <c r="C280" s="73" t="s">
        <v>81</v>
      </c>
      <c r="D280" s="73" t="s">
        <v>26</v>
      </c>
      <c r="E280" s="23">
        <v>251.49</v>
      </c>
      <c r="F280" s="73" t="s">
        <v>33</v>
      </c>
      <c r="G280" s="155" t="str">
        <f>IFERROR(INDEX(tbCategorias[Tipo],MATCH(tbLancamentos[[#This Row],[Categoria]],tbCategorias[Categoria],0)),"Categoria?")</f>
        <v>Investimento</v>
      </c>
      <c r="H280" s="155" t="str">
        <f>IFERROR(INDEX(tbCategorias[Grupo],MATCH(tbLancamentos[[#This Row],[Categoria]],tbCategorias[Categoria],0)),"")</f>
        <v>Investimento</v>
      </c>
      <c r="I280" s="156">
        <f>IF(tbLancamentos[[#This Row],[Data]]="","",DATE(YEAR(tbLancamentos[[#This Row],[Data]]),MONTH(tbLancamentos[[#This Row],[Data]]),1))</f>
        <v>46296</v>
      </c>
    </row>
    <row r="281" spans="2:9" x14ac:dyDescent="0.35">
      <c r="B281" s="154">
        <v>46306</v>
      </c>
      <c r="C281" s="73" t="s">
        <v>72</v>
      </c>
      <c r="D281" s="73" t="s">
        <v>20</v>
      </c>
      <c r="E281" s="23">
        <v>31.76</v>
      </c>
      <c r="F281" s="73" t="s">
        <v>34</v>
      </c>
      <c r="G281" s="155" t="str">
        <f>IFERROR(INDEX(tbCategorias[Tipo],MATCH(tbLancamentos[[#This Row],[Categoria]],tbCategorias[Categoria],0)),"Categoria?")</f>
        <v>Despesa</v>
      </c>
      <c r="H281" s="155" t="str">
        <f>IFERROR(INDEX(tbCategorias[Grupo],MATCH(tbLancamentos[[#This Row],[Categoria]],tbCategorias[Categoria],0)),"")</f>
        <v>Estilo de vida</v>
      </c>
      <c r="I281" s="156">
        <f>IF(tbLancamentos[[#This Row],[Data]]="","",DATE(YEAR(tbLancamentos[[#This Row],[Data]]),MONTH(tbLancamentos[[#This Row],[Data]]),1))</f>
        <v>46296</v>
      </c>
    </row>
    <row r="282" spans="2:9" x14ac:dyDescent="0.35">
      <c r="B282" s="154">
        <v>46306</v>
      </c>
      <c r="C282" s="73" t="s">
        <v>53</v>
      </c>
      <c r="D282" s="73" t="s">
        <v>20</v>
      </c>
      <c r="E282" s="23">
        <v>73.150000000000006</v>
      </c>
      <c r="F282" s="73" t="s">
        <v>34</v>
      </c>
      <c r="G282" s="155" t="str">
        <f>IFERROR(INDEX(tbCategorias[Tipo],MATCH(tbLancamentos[[#This Row],[Categoria]],tbCategorias[Categoria],0)),"Categoria?")</f>
        <v>Despesa</v>
      </c>
      <c r="H282" s="155" t="str">
        <f>IFERROR(INDEX(tbCategorias[Grupo],MATCH(tbLancamentos[[#This Row],[Categoria]],tbCategorias[Categoria],0)),"")</f>
        <v>Estilo de vida</v>
      </c>
      <c r="I282" s="156">
        <f>IF(tbLancamentos[[#This Row],[Data]]="","",DATE(YEAR(tbLancamentos[[#This Row],[Data]]),MONTH(tbLancamentos[[#This Row],[Data]]),1))</f>
        <v>46296</v>
      </c>
    </row>
    <row r="283" spans="2:9" x14ac:dyDescent="0.35">
      <c r="B283" s="154">
        <v>46306</v>
      </c>
      <c r="C283" s="73" t="s">
        <v>46</v>
      </c>
      <c r="D283" s="73" t="s">
        <v>16</v>
      </c>
      <c r="E283" s="23">
        <v>308.89999999999998</v>
      </c>
      <c r="F283" s="73" t="s">
        <v>33</v>
      </c>
      <c r="G283" s="155" t="str">
        <f>IFERROR(INDEX(tbCategorias[Tipo],MATCH(tbLancamentos[[#This Row],[Categoria]],tbCategorias[Categoria],0)),"Categoria?")</f>
        <v>Despesa</v>
      </c>
      <c r="H283" s="155" t="str">
        <f>IFERROR(INDEX(tbCategorias[Grupo],MATCH(tbLancamentos[[#This Row],[Categoria]],tbCategorias[Categoria],0)),"")</f>
        <v>Essencial</v>
      </c>
      <c r="I283" s="156">
        <f>IF(tbLancamentos[[#This Row],[Data]]="","",DATE(YEAR(tbLancamentos[[#This Row],[Data]]),MONTH(tbLancamentos[[#This Row],[Data]]),1))</f>
        <v>46296</v>
      </c>
    </row>
    <row r="284" spans="2:9" x14ac:dyDescent="0.35">
      <c r="B284" s="154">
        <v>46307</v>
      </c>
      <c r="C284" s="73" t="s">
        <v>57</v>
      </c>
      <c r="D284" s="73" t="s">
        <v>15</v>
      </c>
      <c r="E284" s="23">
        <v>165.63</v>
      </c>
      <c r="F284" s="73" t="s">
        <v>36</v>
      </c>
      <c r="G284" s="155" t="str">
        <f>IFERROR(INDEX(tbCategorias[Tipo],MATCH(tbLancamentos[[#This Row],[Categoria]],tbCategorias[Categoria],0)),"Categoria?")</f>
        <v>Despesa</v>
      </c>
      <c r="H284" s="155" t="str">
        <f>IFERROR(INDEX(tbCategorias[Grupo],MATCH(tbLancamentos[[#This Row],[Categoria]],tbCategorias[Categoria],0)),"")</f>
        <v>Essencial</v>
      </c>
      <c r="I284" s="156">
        <f>IF(tbLancamentos[[#This Row],[Data]]="","",DATE(YEAR(tbLancamentos[[#This Row],[Data]]),MONTH(tbLancamentos[[#This Row],[Data]]),1))</f>
        <v>46296</v>
      </c>
    </row>
    <row r="285" spans="2:9" x14ac:dyDescent="0.35">
      <c r="B285" s="154">
        <v>46308</v>
      </c>
      <c r="C285" s="73" t="s">
        <v>71</v>
      </c>
      <c r="D285" s="73" t="s">
        <v>24</v>
      </c>
      <c r="E285" s="23">
        <v>406.92</v>
      </c>
      <c r="F285" s="73" t="s">
        <v>34</v>
      </c>
      <c r="G285" s="155" t="str">
        <f>IFERROR(INDEX(tbCategorias[Tipo],MATCH(tbLancamentos[[#This Row],[Categoria]],tbCategorias[Categoria],0)),"Categoria?")</f>
        <v>Despesa</v>
      </c>
      <c r="H285" s="155" t="str">
        <f>IFERROR(INDEX(tbCategorias[Grupo],MATCH(tbLancamentos[[#This Row],[Categoria]],tbCategorias[Categoria],0)),"")</f>
        <v>Estilo de vida</v>
      </c>
      <c r="I285" s="156">
        <f>IF(tbLancamentos[[#This Row],[Data]]="","",DATE(YEAR(tbLancamentos[[#This Row],[Data]]),MONTH(tbLancamentos[[#This Row],[Data]]),1))</f>
        <v>46296</v>
      </c>
    </row>
    <row r="286" spans="2:9" x14ac:dyDescent="0.35">
      <c r="B286" s="154">
        <v>46309</v>
      </c>
      <c r="C286" s="73" t="s">
        <v>60</v>
      </c>
      <c r="D286" s="73" t="s">
        <v>23</v>
      </c>
      <c r="E286" s="23">
        <v>21.9</v>
      </c>
      <c r="F286" s="73" t="s">
        <v>34</v>
      </c>
      <c r="G286" s="155" t="str">
        <f>IFERROR(INDEX(tbCategorias[Tipo],MATCH(tbLancamentos[[#This Row],[Categoria]],tbCategorias[Categoria],0)),"Categoria?")</f>
        <v>Despesa</v>
      </c>
      <c r="H286" s="155" t="str">
        <f>IFERROR(INDEX(tbCategorias[Grupo],MATCH(tbLancamentos[[#This Row],[Categoria]],tbCategorias[Categoria],0)),"")</f>
        <v>Estilo de vida</v>
      </c>
      <c r="I286" s="156">
        <f>IF(tbLancamentos[[#This Row],[Data]]="","",DATE(YEAR(tbLancamentos[[#This Row],[Data]]),MONTH(tbLancamentos[[#This Row],[Data]]),1))</f>
        <v>46296</v>
      </c>
    </row>
    <row r="287" spans="2:9" x14ac:dyDescent="0.35">
      <c r="B287" s="154">
        <v>46309</v>
      </c>
      <c r="C287" s="73" t="s">
        <v>59</v>
      </c>
      <c r="D287" s="73" t="s">
        <v>23</v>
      </c>
      <c r="E287" s="23">
        <v>44.9</v>
      </c>
      <c r="F287" s="73" t="s">
        <v>34</v>
      </c>
      <c r="G287" s="155" t="str">
        <f>IFERROR(INDEX(tbCategorias[Tipo],MATCH(tbLancamentos[[#This Row],[Categoria]],tbCategorias[Categoria],0)),"Categoria?")</f>
        <v>Despesa</v>
      </c>
      <c r="H287" s="155" t="str">
        <f>IFERROR(INDEX(tbCategorias[Grupo],MATCH(tbLancamentos[[#This Row],[Categoria]],tbCategorias[Categoria],0)),"")</f>
        <v>Estilo de vida</v>
      </c>
      <c r="I287" s="156">
        <f>IF(tbLancamentos[[#This Row],[Data]]="","",DATE(YEAR(tbLancamentos[[#This Row],[Data]]),MONTH(tbLancamentos[[#This Row],[Data]]),1))</f>
        <v>46296</v>
      </c>
    </row>
    <row r="288" spans="2:9" x14ac:dyDescent="0.35">
      <c r="B288" s="154">
        <v>46310</v>
      </c>
      <c r="C288" s="73" t="s">
        <v>63</v>
      </c>
      <c r="D288" s="73" t="s">
        <v>15</v>
      </c>
      <c r="E288" s="23">
        <v>79.62</v>
      </c>
      <c r="F288" s="73" t="s">
        <v>36</v>
      </c>
      <c r="G288" s="155" t="str">
        <f>IFERROR(INDEX(tbCategorias[Tipo],MATCH(tbLancamentos[[#This Row],[Categoria]],tbCategorias[Categoria],0)),"Categoria?")</f>
        <v>Despesa</v>
      </c>
      <c r="H288" s="155" t="str">
        <f>IFERROR(INDEX(tbCategorias[Grupo],MATCH(tbLancamentos[[#This Row],[Categoria]],tbCategorias[Categoria],0)),"")</f>
        <v>Essencial</v>
      </c>
      <c r="I288" s="156">
        <f>IF(tbLancamentos[[#This Row],[Data]]="","",DATE(YEAR(tbLancamentos[[#This Row],[Data]]),MONTH(tbLancamentos[[#This Row],[Data]]),1))</f>
        <v>46296</v>
      </c>
    </row>
    <row r="289" spans="2:9" x14ac:dyDescent="0.35">
      <c r="B289" s="154">
        <v>46311</v>
      </c>
      <c r="C289" s="73" t="s">
        <v>62</v>
      </c>
      <c r="D289" s="73" t="s">
        <v>17</v>
      </c>
      <c r="E289" s="23">
        <v>20.58</v>
      </c>
      <c r="F289" s="73" t="s">
        <v>34</v>
      </c>
      <c r="G289" s="155" t="str">
        <f>IFERROR(INDEX(tbCategorias[Tipo],MATCH(tbLancamentos[[#This Row],[Categoria]],tbCategorias[Categoria],0)),"Categoria?")</f>
        <v>Despesa</v>
      </c>
      <c r="H289" s="155" t="str">
        <f>IFERROR(INDEX(tbCategorias[Grupo],MATCH(tbLancamentos[[#This Row],[Categoria]],tbCategorias[Categoria],0)),"")</f>
        <v>Essencial</v>
      </c>
      <c r="I289" s="156">
        <f>IF(tbLancamentos[[#This Row],[Data]]="","",DATE(YEAR(tbLancamentos[[#This Row],[Data]]),MONTH(tbLancamentos[[#This Row],[Data]]),1))</f>
        <v>46296</v>
      </c>
    </row>
    <row r="290" spans="2:9" x14ac:dyDescent="0.35">
      <c r="B290" s="154">
        <v>46312</v>
      </c>
      <c r="C290" s="73" t="s">
        <v>76</v>
      </c>
      <c r="D290" s="73" t="s">
        <v>16</v>
      </c>
      <c r="E290" s="23">
        <v>160.93</v>
      </c>
      <c r="F290" s="73" t="s">
        <v>35</v>
      </c>
      <c r="G290" s="155" t="str">
        <f>IFERROR(INDEX(tbCategorias[Tipo],MATCH(tbLancamentos[[#This Row],[Categoria]],tbCategorias[Categoria],0)),"Categoria?")</f>
        <v>Despesa</v>
      </c>
      <c r="H290" s="155" t="str">
        <f>IFERROR(INDEX(tbCategorias[Grupo],MATCH(tbLancamentos[[#This Row],[Categoria]],tbCategorias[Categoria],0)),"")</f>
        <v>Essencial</v>
      </c>
      <c r="I290" s="156">
        <f>IF(tbLancamentos[[#This Row],[Data]]="","",DATE(YEAR(tbLancamentos[[#This Row],[Data]]),MONTH(tbLancamentos[[#This Row],[Data]]),1))</f>
        <v>46296</v>
      </c>
    </row>
    <row r="291" spans="2:9" x14ac:dyDescent="0.35">
      <c r="B291" s="154">
        <v>46312</v>
      </c>
      <c r="C291" s="73" t="s">
        <v>82</v>
      </c>
      <c r="D291" s="73" t="s">
        <v>25</v>
      </c>
      <c r="E291" s="23">
        <v>129.63</v>
      </c>
      <c r="F291" s="73" t="s">
        <v>33</v>
      </c>
      <c r="G291" s="155" t="str">
        <f>IFERROR(INDEX(tbCategorias[Tipo],MATCH(tbLancamentos[[#This Row],[Categoria]],tbCategorias[Categoria],0)),"Categoria?")</f>
        <v>Despesa</v>
      </c>
      <c r="H291" s="155" t="str">
        <f>IFERROR(INDEX(tbCategorias[Grupo],MATCH(tbLancamentos[[#This Row],[Categoria]],tbCategorias[Categoria],0)),"")</f>
        <v>Estilo de vida</v>
      </c>
      <c r="I291" s="156">
        <f>IF(tbLancamentos[[#This Row],[Data]]="","",DATE(YEAR(tbLancamentos[[#This Row],[Data]]),MONTH(tbLancamentos[[#This Row],[Data]]),1))</f>
        <v>46296</v>
      </c>
    </row>
    <row r="292" spans="2:9" x14ac:dyDescent="0.35">
      <c r="B292" s="154">
        <v>46313</v>
      </c>
      <c r="C292" s="73" t="s">
        <v>65</v>
      </c>
      <c r="D292" s="73" t="s">
        <v>15</v>
      </c>
      <c r="E292" s="23">
        <v>99.9</v>
      </c>
      <c r="F292" s="73" t="s">
        <v>35</v>
      </c>
      <c r="G292" s="155" t="str">
        <f>IFERROR(INDEX(tbCategorias[Tipo],MATCH(tbLancamentos[[#This Row],[Categoria]],tbCategorias[Categoria],0)),"Categoria?")</f>
        <v>Despesa</v>
      </c>
      <c r="H292" s="155" t="str">
        <f>IFERROR(INDEX(tbCategorias[Grupo],MATCH(tbLancamentos[[#This Row],[Categoria]],tbCategorias[Categoria],0)),"")</f>
        <v>Essencial</v>
      </c>
      <c r="I292" s="156">
        <f>IF(tbLancamentos[[#This Row],[Data]]="","",DATE(YEAR(tbLancamentos[[#This Row],[Data]]),MONTH(tbLancamentos[[#This Row],[Data]]),1))</f>
        <v>46296</v>
      </c>
    </row>
    <row r="293" spans="2:9" x14ac:dyDescent="0.35">
      <c r="B293" s="154">
        <v>46313</v>
      </c>
      <c r="C293" s="73" t="s">
        <v>53</v>
      </c>
      <c r="D293" s="73" t="s">
        <v>20</v>
      </c>
      <c r="E293" s="23">
        <v>29.4</v>
      </c>
      <c r="F293" s="73" t="s">
        <v>34</v>
      </c>
      <c r="G293" s="155" t="str">
        <f>IFERROR(INDEX(tbCategorias[Tipo],MATCH(tbLancamentos[[#This Row],[Categoria]],tbCategorias[Categoria],0)),"Categoria?")</f>
        <v>Despesa</v>
      </c>
      <c r="H293" s="155" t="str">
        <f>IFERROR(INDEX(tbCategorias[Grupo],MATCH(tbLancamentos[[#This Row],[Categoria]],tbCategorias[Categoria],0)),"")</f>
        <v>Estilo de vida</v>
      </c>
      <c r="I293" s="156">
        <f>IF(tbLancamentos[[#This Row],[Data]]="","",DATE(YEAR(tbLancamentos[[#This Row],[Data]]),MONTH(tbLancamentos[[#This Row],[Data]]),1))</f>
        <v>46296</v>
      </c>
    </row>
    <row r="294" spans="2:9" x14ac:dyDescent="0.35">
      <c r="B294" s="154">
        <v>46314</v>
      </c>
      <c r="C294" s="73" t="s">
        <v>49</v>
      </c>
      <c r="D294" s="73" t="s">
        <v>17</v>
      </c>
      <c r="E294" s="23">
        <v>153.36000000000001</v>
      </c>
      <c r="F294" s="73" t="s">
        <v>34</v>
      </c>
      <c r="G294" s="155" t="str">
        <f>IFERROR(INDEX(tbCategorias[Tipo],MATCH(tbLancamentos[[#This Row],[Categoria]],tbCategorias[Categoria],0)),"Categoria?")</f>
        <v>Despesa</v>
      </c>
      <c r="H294" s="155" t="str">
        <f>IFERROR(INDEX(tbCategorias[Grupo],MATCH(tbLancamentos[[#This Row],[Categoria]],tbCategorias[Categoria],0)),"")</f>
        <v>Essencial</v>
      </c>
      <c r="I294" s="156">
        <f>IF(tbLancamentos[[#This Row],[Data]]="","",DATE(YEAR(tbLancamentos[[#This Row],[Data]]),MONTH(tbLancamentos[[#This Row],[Data]]),1))</f>
        <v>46296</v>
      </c>
    </row>
    <row r="295" spans="2:9" x14ac:dyDescent="0.35">
      <c r="B295" s="154">
        <v>46315</v>
      </c>
      <c r="C295" s="73" t="s">
        <v>67</v>
      </c>
      <c r="D295" s="73" t="s">
        <v>15</v>
      </c>
      <c r="E295" s="23">
        <v>49.9</v>
      </c>
      <c r="F295" s="73" t="s">
        <v>34</v>
      </c>
      <c r="G295" s="155" t="str">
        <f>IFERROR(INDEX(tbCategorias[Tipo],MATCH(tbLancamentos[[#This Row],[Categoria]],tbCategorias[Categoria],0)),"Categoria?")</f>
        <v>Despesa</v>
      </c>
      <c r="H295" s="155" t="str">
        <f>IFERROR(INDEX(tbCategorias[Grupo],MATCH(tbLancamentos[[#This Row],[Categoria]],tbCategorias[Categoria],0)),"")</f>
        <v>Essencial</v>
      </c>
      <c r="I295" s="156">
        <f>IF(tbLancamentos[[#This Row],[Data]]="","",DATE(YEAR(tbLancamentos[[#This Row],[Data]]),MONTH(tbLancamentos[[#This Row],[Data]]),1))</f>
        <v>46296</v>
      </c>
    </row>
    <row r="296" spans="2:9" x14ac:dyDescent="0.35">
      <c r="B296" s="154">
        <v>46315</v>
      </c>
      <c r="C296" s="73" t="s">
        <v>66</v>
      </c>
      <c r="D296" s="73" t="s">
        <v>19</v>
      </c>
      <c r="E296" s="23">
        <v>79.900000000000006</v>
      </c>
      <c r="F296" s="73" t="s">
        <v>34</v>
      </c>
      <c r="G296" s="155" t="str">
        <f>IFERROR(INDEX(tbCategorias[Tipo],MATCH(tbLancamentos[[#This Row],[Categoria]],tbCategorias[Categoria],0)),"Categoria?")</f>
        <v>Despesa</v>
      </c>
      <c r="H296" s="155" t="str">
        <f>IFERROR(INDEX(tbCategorias[Grupo],MATCH(tbLancamentos[[#This Row],[Categoria]],tbCategorias[Categoria],0)),"")</f>
        <v>Essencial</v>
      </c>
      <c r="I296" s="156">
        <f>IF(tbLancamentos[[#This Row],[Data]]="","",DATE(YEAR(tbLancamentos[[#This Row],[Data]]),MONTH(tbLancamentos[[#This Row],[Data]]),1))</f>
        <v>46296</v>
      </c>
    </row>
    <row r="297" spans="2:9" x14ac:dyDescent="0.35">
      <c r="B297" s="154">
        <v>46316</v>
      </c>
      <c r="C297" s="73" t="s">
        <v>62</v>
      </c>
      <c r="D297" s="73" t="s">
        <v>17</v>
      </c>
      <c r="E297" s="23">
        <v>41.88</v>
      </c>
      <c r="F297" s="73" t="s">
        <v>34</v>
      </c>
      <c r="G297" s="155" t="str">
        <f>IFERROR(INDEX(tbCategorias[Tipo],MATCH(tbLancamentos[[#This Row],[Categoria]],tbCategorias[Categoria],0)),"Categoria?")</f>
        <v>Despesa</v>
      </c>
      <c r="H297" s="155" t="str">
        <f>IFERROR(INDEX(tbCategorias[Grupo],MATCH(tbLancamentos[[#This Row],[Categoria]],tbCategorias[Categoria],0)),"")</f>
        <v>Essencial</v>
      </c>
      <c r="I297" s="156">
        <f>IF(tbLancamentos[[#This Row],[Data]]="","",DATE(YEAR(tbLancamentos[[#This Row],[Data]]),MONTH(tbLancamentos[[#This Row],[Data]]),1))</f>
        <v>46296</v>
      </c>
    </row>
    <row r="298" spans="2:9" x14ac:dyDescent="0.35">
      <c r="B298" s="154">
        <v>46318</v>
      </c>
      <c r="C298" s="73" t="s">
        <v>74</v>
      </c>
      <c r="D298" s="73" t="s">
        <v>18</v>
      </c>
      <c r="E298" s="23">
        <v>49.43</v>
      </c>
      <c r="F298" s="73" t="s">
        <v>35</v>
      </c>
      <c r="G298" s="155" t="str">
        <f>IFERROR(INDEX(tbCategorias[Tipo],MATCH(tbLancamentos[[#This Row],[Categoria]],tbCategorias[Categoria],0)),"Categoria?")</f>
        <v>Despesa</v>
      </c>
      <c r="H298" s="155" t="str">
        <f>IFERROR(INDEX(tbCategorias[Grupo],MATCH(tbLancamentos[[#This Row],[Categoria]],tbCategorias[Categoria],0)),"")</f>
        <v>Essencial</v>
      </c>
      <c r="I298" s="156">
        <f>IF(tbLancamentos[[#This Row],[Data]]="","",DATE(YEAR(tbLancamentos[[#This Row],[Data]]),MONTH(tbLancamentos[[#This Row],[Data]]),1))</f>
        <v>46296</v>
      </c>
    </row>
    <row r="299" spans="2:9" x14ac:dyDescent="0.35">
      <c r="B299" s="154">
        <v>46320</v>
      </c>
      <c r="C299" s="73" t="s">
        <v>46</v>
      </c>
      <c r="D299" s="73" t="s">
        <v>16</v>
      </c>
      <c r="E299" s="23">
        <v>120.41</v>
      </c>
      <c r="F299" s="73" t="s">
        <v>34</v>
      </c>
      <c r="G299" s="155" t="str">
        <f>IFERROR(INDEX(tbCategorias[Tipo],MATCH(tbLancamentos[[#This Row],[Categoria]],tbCategorias[Categoria],0)),"Categoria?")</f>
        <v>Despesa</v>
      </c>
      <c r="H299" s="155" t="str">
        <f>IFERROR(INDEX(tbCategorias[Grupo],MATCH(tbLancamentos[[#This Row],[Categoria]],tbCategorias[Categoria],0)),"")</f>
        <v>Essencial</v>
      </c>
      <c r="I299" s="156">
        <f>IF(tbLancamentos[[#This Row],[Data]]="","",DATE(YEAR(tbLancamentos[[#This Row],[Data]]),MONTH(tbLancamentos[[#This Row],[Data]]),1))</f>
        <v>46296</v>
      </c>
    </row>
  </sheetData>
  <conditionalFormatting sqref="E6:E299">
    <cfRule type="expression" dxfId="14" priority="2" stopIfTrue="1">
      <formula>$G6="Receita"</formula>
    </cfRule>
    <cfRule type="expression" dxfId="13" priority="3" stopIfTrue="1">
      <formula>$G6="Investimento"</formula>
    </cfRule>
  </conditionalFormatting>
  <conditionalFormatting sqref="G6:G299">
    <cfRule type="cellIs" dxfId="12" priority="1" stopIfTrue="1" operator="equal">
      <formula>"Categoria?"</formula>
    </cfRule>
  </conditionalFormatting>
  <dataValidations count="5">
    <dataValidation type="list" allowBlank="1" showInputMessage="1" showErrorMessage="1" promptTitle="Categoria" prompt="Escolha na lista. Para criar uma nova, vá na aba Categorias." sqref="D6:D299" xr:uid="{C5D7BB22-0959-4095-BDE5-B0555F56AA07}">
      <formula1>lstCategorias</formula1>
    </dataValidation>
    <dataValidation type="list" allowBlank="1" showInputMessage="1" showErrorMessage="1" promptTitle="Pagamento" prompt="Pix, cartão de crédito, débito, boleto ou dinheiro." sqref="F6:F299" xr:uid="{A7D54519-9815-4F33-9646-3F7D8DD073DF}">
      <formula1>lstPagamento</formula1>
    </dataValidation>
    <dataValidation type="decimal" operator="greaterThanOrEqual" allowBlank="1" showInputMessage="1" showErrorMessage="1" error="Use um valor positivo. O tipo da categoria define se é entrada ou saída." promptTitle="Valor" prompt="Sempre positivo. A categoria define se é entrada, saída ou investimento." sqref="E6:E299" xr:uid="{F6481157-5649-432C-98CD-E3CC1533BA0F}">
      <formula1>0</formula1>
    </dataValidation>
    <dataValidation type="date" operator="greaterThan" allowBlank="1" showInputMessage="1" showErrorMessage="1" error="Digite uma data válida (ex.: 25/10/2026)." promptTitle="Data" prompt="Dia do gasto ou recebimento (ex.: 25/10/2026)." sqref="B6:B299" xr:uid="{3A2AF9DC-2178-4A05-A593-6B50BBE5A305}">
      <formula1>36526</formula1>
    </dataValidation>
    <dataValidation allowBlank="1" showInputMessage="1" showErrorMessage="1" promptTitle="Descrição" prompt="Use o mesmo nome da conta fixa ou da compra parcelada para elas aparecerem como pagas." sqref="C6:C299" xr:uid="{EAABC769-14E4-4818-8E84-010D825A275F}"/>
  </dataValidations>
  <printOptions horizontalCentered="1"/>
  <pageMargins left="0.511811024" right="0.511811024" top="0.78740157499999996" bottom="0.78740157499999996" header="0.31496062000000002" footer="0.31496062000000002"/>
  <pageSetup paperSize="9" scale="58" fitToHeight="0" orientation="landscape" r:id="rId1"/>
  <headerFooter>
    <oddFooter>&amp;CPágina &amp;P de &amp;N&amp;L&amp;A&amp;R&amp;8Criado por Otávio · ottavvi.dev</oddFooter>
  </headerFooter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09A7B-A192-4C43-9D21-952D9525E4A7}">
  <sheetPr>
    <tabColor rgb="FF6FD6C8"/>
    <pageSetUpPr fitToPage="1"/>
  </sheetPr>
  <dimension ref="B1:M19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35"/>
  <cols>
    <col min="1" max="1" width="2.77734375" style="2" customWidth="1"/>
    <col min="2" max="2" width="24.77734375" style="2" customWidth="1"/>
    <col min="3" max="3" width="22.77734375" style="2" customWidth="1"/>
    <col min="4" max="4" width="15.77734375" style="2" customWidth="1"/>
    <col min="5" max="5" width="12.77734375" style="2" customWidth="1"/>
    <col min="6" max="6" width="18.77734375" style="2" customWidth="1"/>
    <col min="7" max="7" width="11.77734375" style="2" customWidth="1"/>
    <col min="8" max="8" width="14.77734375" style="2" customWidth="1"/>
    <col min="9" max="9" width="13.77734375" style="2" customWidth="1"/>
    <col min="10" max="10" width="3.77734375" style="2" customWidth="1"/>
    <col min="11" max="11" width="20.77734375" style="2" customWidth="1"/>
    <col min="12" max="12" width="15.77734375" style="2" customWidth="1"/>
    <col min="13" max="16384" width="8.88671875" style="2"/>
  </cols>
  <sheetData>
    <row r="1" spans="2:13" ht="34.049999999999997" customHeight="1" x14ac:dyDescent="0.35">
      <c r="B1" s="4" t="s">
        <v>157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2:13" ht="19.95" customHeight="1" x14ac:dyDescent="0.35">
      <c r="B2" s="5" t="s">
        <v>158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2:13" ht="19.95" customHeight="1" x14ac:dyDescent="0.35">
      <c r="B3" s="7" t="str">
        <f>HYPERLINK("#'Painel'!A1","Painel")</f>
        <v>Painel</v>
      </c>
      <c r="C3" s="7" t="str">
        <f>HYPERLINK("#'Celular'!A1","Celular")</f>
        <v>Celular</v>
      </c>
      <c r="D3" s="7" t="str">
        <f>HYPERLINK("#'Lançamentos'!A1","Lançamentos")</f>
        <v>Lançamentos</v>
      </c>
      <c r="E3" s="8" t="s">
        <v>159</v>
      </c>
      <c r="F3" s="7" t="str">
        <f>HYPERLINK("#'Cartão'!A1","Cartão")</f>
        <v>Cartão</v>
      </c>
      <c r="G3" s="7" t="str">
        <f>HYPERLINK("#'Dívidas'!A1","Dívidas")</f>
        <v>Dívidas</v>
      </c>
      <c r="H3" s="7" t="str">
        <f>HYPERLINK("#'Categorias'!A1","Categorias")</f>
        <v>Categorias</v>
      </c>
      <c r="I3" s="7" t="str">
        <f>HYPERLINK("#'Metas'!A1","Metas")</f>
        <v>Metas</v>
      </c>
      <c r="J3" s="7" t="str">
        <f>HYPERLINK("#'Patrimônio'!A1","Patrimônio")</f>
        <v>Patrimônio</v>
      </c>
      <c r="K3" s="7" t="str">
        <f>HYPERLINK("#'Simulador'!A1","Simulador")</f>
        <v>Simulador</v>
      </c>
      <c r="L3" s="7" t="str">
        <f>HYPERLINK("#'Resumo'!A1","Resumo")</f>
        <v>Resumo</v>
      </c>
      <c r="M3" s="7" t="str">
        <f>HYPERLINK("#'Como usar'!A1","Ajuda")</f>
        <v>Ajuda</v>
      </c>
    </row>
    <row r="5" spans="2:13" x14ac:dyDescent="0.35">
      <c r="B5" s="12" t="s">
        <v>83</v>
      </c>
      <c r="C5" s="70">
        <v>46296</v>
      </c>
    </row>
    <row r="7" spans="2:13" ht="30" customHeight="1" thickBot="1" x14ac:dyDescent="0.4">
      <c r="B7" s="157" t="s">
        <v>160</v>
      </c>
      <c r="C7" s="157" t="s">
        <v>3</v>
      </c>
      <c r="D7" s="157" t="s">
        <v>161</v>
      </c>
      <c r="E7" s="157" t="s">
        <v>162</v>
      </c>
      <c r="F7" s="157" t="s">
        <v>32</v>
      </c>
      <c r="G7" s="157" t="s">
        <v>165</v>
      </c>
      <c r="H7" s="157" t="s">
        <v>166</v>
      </c>
      <c r="I7" s="157" t="s">
        <v>134</v>
      </c>
      <c r="K7" s="16" t="s">
        <v>167</v>
      </c>
      <c r="L7" s="16"/>
    </row>
    <row r="8" spans="2:13" x14ac:dyDescent="0.35">
      <c r="B8" s="158" t="s">
        <v>55</v>
      </c>
      <c r="C8" s="158" t="s">
        <v>12</v>
      </c>
      <c r="D8" s="159">
        <v>1200</v>
      </c>
      <c r="E8" s="160">
        <v>10</v>
      </c>
      <c r="F8" s="158" t="s">
        <v>36</v>
      </c>
      <c r="G8" s="161">
        <f>DATE(YEAR($C$5),MONTH($C$5),MIN(tbContas[[#This Row],[Dia do vencimento]],DAY(EOMONTH($C$5,0))))</f>
        <v>46305</v>
      </c>
      <c r="H8" s="162">
        <f>SUMIFS(tbLancamentos[Valor],tbLancamentos[Mês],$C$5,tbLancamentos[Descrição],tbContas[[#This Row],[Conta]])</f>
        <v>1200</v>
      </c>
      <c r="I8" s="163" t="str">
        <f ca="1">IF(tbContas[[#This Row],[Pago no mês]]&gt;0,"✓ Paga",IF(TODAY()&gt;tbContas[[#This Row],[Vence em]],"⚠ Vencida","Pendente"))</f>
        <v>✓ Paga</v>
      </c>
      <c r="K8" s="71" t="s">
        <v>168</v>
      </c>
      <c r="L8" s="72">
        <f>SUM(tbContas[Valor previsto])</f>
        <v>1991.3000000000006</v>
      </c>
    </row>
    <row r="9" spans="2:13" x14ac:dyDescent="0.35">
      <c r="B9" s="164" t="s">
        <v>57</v>
      </c>
      <c r="C9" s="164" t="s">
        <v>15</v>
      </c>
      <c r="D9" s="165">
        <v>180</v>
      </c>
      <c r="E9" s="166">
        <v>12</v>
      </c>
      <c r="F9" s="164" t="s">
        <v>36</v>
      </c>
      <c r="G9" s="167">
        <f>DATE(YEAR($C$5),MONTH($C$5),MIN(tbContas[[#This Row],[Dia do vencimento]],DAY(EOMONTH($C$5,0))))</f>
        <v>46307</v>
      </c>
      <c r="H9" s="168">
        <f>SUMIFS(tbLancamentos[Valor],tbLancamentos[Mês],$C$5,tbLancamentos[Descrição],tbContas[[#This Row],[Conta]])</f>
        <v>165.63</v>
      </c>
      <c r="I9" s="169" t="str">
        <f ca="1">IF(tbContas[[#This Row],[Pago no mês]]&gt;0,"✓ Paga",IF(TODAY()&gt;tbContas[[#This Row],[Vence em]],"⚠ Vencida","Pendente"))</f>
        <v>✓ Paga</v>
      </c>
      <c r="K9" s="73" t="s">
        <v>169</v>
      </c>
      <c r="L9" s="74">
        <f>SUM(tbContas[Pago no mês])</f>
        <v>1901.5500000000006</v>
      </c>
    </row>
    <row r="10" spans="2:13" x14ac:dyDescent="0.35">
      <c r="B10" s="164" t="s">
        <v>63</v>
      </c>
      <c r="C10" s="164" t="s">
        <v>15</v>
      </c>
      <c r="D10" s="165">
        <v>80</v>
      </c>
      <c r="E10" s="166">
        <v>15</v>
      </c>
      <c r="F10" s="164" t="s">
        <v>36</v>
      </c>
      <c r="G10" s="167">
        <f>DATE(YEAR($C$5),MONTH($C$5),MIN(tbContas[[#This Row],[Dia do vencimento]],DAY(EOMONTH($C$5,0))))</f>
        <v>46310</v>
      </c>
      <c r="H10" s="168">
        <f>SUMIFS(tbLancamentos[Valor],tbLancamentos[Mês],$C$5,tbLancamentos[Descrição],tbContas[[#This Row],[Conta]])</f>
        <v>79.62</v>
      </c>
      <c r="I10" s="169" t="str">
        <f ca="1">IF(tbContas[[#This Row],[Pago no mês]]&gt;0,"✓ Paga",IF(TODAY()&gt;tbContas[[#This Row],[Vence em]],"⚠ Vencida","Pendente"))</f>
        <v>✓ Paga</v>
      </c>
      <c r="K10" s="73" t="s">
        <v>170</v>
      </c>
      <c r="L10" s="74">
        <f ca="1">SUMIFS(tbContas[Valor previsto],tbContas[Situação],"&lt;&gt;✓ Paga")</f>
        <v>75</v>
      </c>
    </row>
    <row r="11" spans="2:13" x14ac:dyDescent="0.35">
      <c r="B11" s="164" t="s">
        <v>65</v>
      </c>
      <c r="C11" s="164" t="s">
        <v>15</v>
      </c>
      <c r="D11" s="165">
        <v>99.9</v>
      </c>
      <c r="E11" s="166">
        <v>18</v>
      </c>
      <c r="F11" s="164" t="s">
        <v>35</v>
      </c>
      <c r="G11" s="167">
        <f>DATE(YEAR($C$5),MONTH($C$5),MIN(tbContas[[#This Row],[Dia do vencimento]],DAY(EOMONTH($C$5,0))))</f>
        <v>46313</v>
      </c>
      <c r="H11" s="168">
        <f>SUMIFS(tbLancamentos[Valor],tbLancamentos[Mês],$C$5,tbLancamentos[Descrição],tbContas[[#This Row],[Conta]])</f>
        <v>99.9</v>
      </c>
      <c r="I11" s="169" t="str">
        <f ca="1">IF(tbContas[[#This Row],[Pago no mês]]&gt;0,"✓ Paga",IF(TODAY()&gt;tbContas[[#This Row],[Vence em]],"⚠ Vencida","Pendente"))</f>
        <v>✓ Paga</v>
      </c>
      <c r="K11" s="73" t="s">
        <v>171</v>
      </c>
      <c r="L11" s="75" t="str">
        <f ca="1">COUNTIF(tbContas[Situação],"✓ Paga")&amp;" de "&amp;ROWS(tbContas[])</f>
        <v>10 de 12</v>
      </c>
    </row>
    <row r="12" spans="2:13" x14ac:dyDescent="0.35">
      <c r="B12" s="164" t="s">
        <v>67</v>
      </c>
      <c r="C12" s="164" t="s">
        <v>15</v>
      </c>
      <c r="D12" s="165">
        <v>49.9</v>
      </c>
      <c r="E12" s="166">
        <v>20</v>
      </c>
      <c r="F12" s="164" t="s">
        <v>34</v>
      </c>
      <c r="G12" s="167">
        <f>DATE(YEAR($C$5),MONTH($C$5),MIN(tbContas[[#This Row],[Dia do vencimento]],DAY(EOMONTH($C$5,0))))</f>
        <v>46315</v>
      </c>
      <c r="H12" s="168">
        <f>SUMIFS(tbLancamentos[Valor],tbLancamentos[Mês],$C$5,tbLancamentos[Descrição],tbContas[[#This Row],[Conta]])</f>
        <v>49.9</v>
      </c>
      <c r="I12" s="169" t="str">
        <f ca="1">IF(tbContas[[#This Row],[Pago no mês]]&gt;0,"✓ Paga",IF(TODAY()&gt;tbContas[[#This Row],[Vence em]],"⚠ Vencida","Pendente"))</f>
        <v>✓ Paga</v>
      </c>
      <c r="K12" s="76" t="s">
        <v>172</v>
      </c>
      <c r="L12" s="77">
        <f ca="1">COUNTIF(tbContas[Situação],"⚠ Vencida")</f>
        <v>1</v>
      </c>
    </row>
    <row r="13" spans="2:13" x14ac:dyDescent="0.35">
      <c r="B13" s="164" t="s">
        <v>52</v>
      </c>
      <c r="C13" s="164" t="s">
        <v>18</v>
      </c>
      <c r="D13" s="165">
        <v>99.9</v>
      </c>
      <c r="E13" s="166">
        <v>8</v>
      </c>
      <c r="F13" s="164" t="s">
        <v>34</v>
      </c>
      <c r="G13" s="167">
        <f>DATE(YEAR($C$5),MONTH($C$5),MIN(tbContas[[#This Row],[Dia do vencimento]],DAY(EOMONTH($C$5,0))))</f>
        <v>46303</v>
      </c>
      <c r="H13" s="168">
        <f>SUMIFS(tbLancamentos[Valor],tbLancamentos[Mês],$C$5,tbLancamentos[Descrição],tbContas[[#This Row],[Conta]])</f>
        <v>99.9</v>
      </c>
      <c r="I13" s="169" t="str">
        <f ca="1">IF(tbContas[[#This Row],[Pago no mês]]&gt;0,"✓ Paga",IF(TODAY()&gt;tbContas[[#This Row],[Vence em]],"⚠ Vencida","Pendente"))</f>
        <v>✓ Paga</v>
      </c>
    </row>
    <row r="14" spans="2:13" x14ac:dyDescent="0.35">
      <c r="B14" s="164" t="s">
        <v>54</v>
      </c>
      <c r="C14" s="164" t="s">
        <v>18</v>
      </c>
      <c r="D14" s="165">
        <v>59.9</v>
      </c>
      <c r="E14" s="166">
        <v>8</v>
      </c>
      <c r="F14" s="164" t="s">
        <v>36</v>
      </c>
      <c r="G14" s="167">
        <f>DATE(YEAR($C$5),MONTH($C$5),MIN(tbContas[[#This Row],[Dia do vencimento]],DAY(EOMONTH($C$5,0))))</f>
        <v>46303</v>
      </c>
      <c r="H14" s="168">
        <f>SUMIFS(tbLancamentos[Valor],tbLancamentos[Mês],$C$5,tbLancamentos[Descrição],tbContas[[#This Row],[Conta]])</f>
        <v>59.9</v>
      </c>
      <c r="I14" s="169" t="str">
        <f ca="1">IF(tbContas[[#This Row],[Pago no mês]]&gt;0,"✓ Paga",IF(TODAY()&gt;tbContas[[#This Row],[Vence em]],"⚠ Vencida","Pendente"))</f>
        <v>✓ Paga</v>
      </c>
      <c r="K14" s="49" t="s">
        <v>173</v>
      </c>
    </row>
    <row r="15" spans="2:13" x14ac:dyDescent="0.35">
      <c r="B15" s="164" t="s">
        <v>59</v>
      </c>
      <c r="C15" s="164" t="s">
        <v>23</v>
      </c>
      <c r="D15" s="165">
        <v>44.9</v>
      </c>
      <c r="E15" s="166">
        <v>14</v>
      </c>
      <c r="F15" s="164" t="s">
        <v>34</v>
      </c>
      <c r="G15" s="167">
        <f>DATE(YEAR($C$5),MONTH($C$5),MIN(tbContas[[#This Row],[Dia do vencimento]],DAY(EOMONTH($C$5,0))))</f>
        <v>46309</v>
      </c>
      <c r="H15" s="168">
        <f>SUMIFS(tbLancamentos[Valor],tbLancamentos[Mês],$C$5,tbLancamentos[Descrição],tbContas[[#This Row],[Conta]])</f>
        <v>44.9</v>
      </c>
      <c r="I15" s="169" t="str">
        <f ca="1">IF(tbContas[[#This Row],[Pago no mês]]&gt;0,"✓ Paga",IF(TODAY()&gt;tbContas[[#This Row],[Vence em]],"⚠ Vencida","Pendente"))</f>
        <v>✓ Paga</v>
      </c>
      <c r="K15" s="49" t="s">
        <v>174</v>
      </c>
    </row>
    <row r="16" spans="2:13" x14ac:dyDescent="0.35">
      <c r="B16" s="164" t="s">
        <v>60</v>
      </c>
      <c r="C16" s="164" t="s">
        <v>23</v>
      </c>
      <c r="D16" s="165">
        <v>21.9</v>
      </c>
      <c r="E16" s="166">
        <v>14</v>
      </c>
      <c r="F16" s="164" t="s">
        <v>34</v>
      </c>
      <c r="G16" s="167">
        <f>DATE(YEAR($C$5),MONTH($C$5),MIN(tbContas[[#This Row],[Dia do vencimento]],DAY(EOMONTH($C$5,0))))</f>
        <v>46309</v>
      </c>
      <c r="H16" s="168">
        <f>SUMIFS(tbLancamentos[Valor],tbLancamentos[Mês],$C$5,tbLancamentos[Descrição],tbContas[[#This Row],[Conta]])</f>
        <v>21.9</v>
      </c>
      <c r="I16" s="169" t="str">
        <f ca="1">IF(tbContas[[#This Row],[Pago no mês]]&gt;0,"✓ Paga",IF(TODAY()&gt;tbContas[[#This Row],[Vence em]],"⚠ Vencida","Pendente"))</f>
        <v>✓ Paga</v>
      </c>
      <c r="K16" s="49" t="s">
        <v>175</v>
      </c>
    </row>
    <row r="17" spans="2:9" x14ac:dyDescent="0.35">
      <c r="B17" s="164" t="s">
        <v>66</v>
      </c>
      <c r="C17" s="164" t="s">
        <v>19</v>
      </c>
      <c r="D17" s="165">
        <v>79.900000000000006</v>
      </c>
      <c r="E17" s="166">
        <v>20</v>
      </c>
      <c r="F17" s="164" t="s">
        <v>34</v>
      </c>
      <c r="G17" s="167">
        <f>DATE(YEAR($C$5),MONTH($C$5),MIN(tbContas[[#This Row],[Dia do vencimento]],DAY(EOMONTH($C$5,0))))</f>
        <v>46315</v>
      </c>
      <c r="H17" s="168">
        <f>SUMIFS(tbLancamentos[Valor],tbLancamentos[Mês],$C$5,tbLancamentos[Descrição],tbContas[[#This Row],[Conta]])</f>
        <v>79.900000000000006</v>
      </c>
      <c r="I17" s="169" t="str">
        <f ca="1">IF(tbContas[[#This Row],[Pago no mês]]&gt;0,"✓ Paga",IF(TODAY()&gt;tbContas[[#This Row],[Vence em]],"⚠ Vencida","Pendente"))</f>
        <v>✓ Paga</v>
      </c>
    </row>
    <row r="18" spans="2:9" x14ac:dyDescent="0.35">
      <c r="B18" s="164" t="s">
        <v>163</v>
      </c>
      <c r="C18" s="164" t="s">
        <v>25</v>
      </c>
      <c r="D18" s="165">
        <v>30</v>
      </c>
      <c r="E18" s="166">
        <v>5</v>
      </c>
      <c r="F18" s="164" t="s">
        <v>33</v>
      </c>
      <c r="G18" s="167">
        <f>DATE(YEAR($C$5),MONTH($C$5),MIN(tbContas[[#This Row],[Dia do vencimento]],DAY(EOMONTH($C$5,0))))</f>
        <v>46300</v>
      </c>
      <c r="H18" s="168">
        <f>SUMIFS(tbLancamentos[Valor],tbLancamentos[Mês],$C$5,tbLancamentos[Descrição],tbContas[[#This Row],[Conta]])</f>
        <v>0</v>
      </c>
      <c r="I18" s="169" t="str">
        <f ca="1">IF(tbContas[[#This Row],[Pago no mês]]&gt;0,"✓ Paga",IF(TODAY()&gt;tbContas[[#This Row],[Vence em]],"⚠ Vencida","Pendente"))</f>
        <v>⚠ Vencida</v>
      </c>
    </row>
    <row r="19" spans="2:9" x14ac:dyDescent="0.35">
      <c r="B19" s="164" t="s">
        <v>164</v>
      </c>
      <c r="C19" s="164" t="s">
        <v>12</v>
      </c>
      <c r="D19" s="165">
        <v>45</v>
      </c>
      <c r="E19" s="166">
        <v>28</v>
      </c>
      <c r="F19" s="164" t="s">
        <v>35</v>
      </c>
      <c r="G19" s="167">
        <f>DATE(YEAR($C$5),MONTH($C$5),MIN(tbContas[[#This Row],[Dia do vencimento]],DAY(EOMONTH($C$5,0))))</f>
        <v>46323</v>
      </c>
      <c r="H19" s="168">
        <f>SUMIFS(tbLancamentos[Valor],tbLancamentos[Mês],$C$5,tbLancamentos[Descrição],tbContas[[#This Row],[Conta]])</f>
        <v>0</v>
      </c>
      <c r="I19" s="169" t="str">
        <f ca="1">IF(tbContas[[#This Row],[Pago no mês]]&gt;0,"✓ Paga",IF(TODAY()&gt;tbContas[[#This Row],[Vence em]],"⚠ Vencida","Pendente"))</f>
        <v>Pendente</v>
      </c>
    </row>
  </sheetData>
  <conditionalFormatting sqref="I8:I19">
    <cfRule type="cellIs" dxfId="11" priority="1" stopIfTrue="1" operator="equal">
      <formula>"✓ Paga"</formula>
    </cfRule>
    <cfRule type="cellIs" dxfId="10" priority="2" stopIfTrue="1" operator="equal">
      <formula>"⚠ Vencida"</formula>
    </cfRule>
    <cfRule type="cellIs" dxfId="9" priority="3" stopIfTrue="1" operator="equal">
      <formula>"Pendente"</formula>
    </cfRule>
  </conditionalFormatting>
  <conditionalFormatting sqref="L12">
    <cfRule type="cellIs" dxfId="8" priority="4" stopIfTrue="1" operator="greaterThan">
      <formula>0</formula>
    </cfRule>
  </conditionalFormatting>
  <dataValidations count="4">
    <dataValidation type="list" allowBlank="1" showInputMessage="1" sqref="C5" xr:uid="{FCF4935C-62D5-4C9A-998B-EE677DD4C52C}">
      <formula1>lstMeses</formula1>
    </dataValidation>
    <dataValidation type="list" allowBlank="1" showInputMessage="1" showErrorMessage="1" sqref="C8:C19" xr:uid="{EF6A34B9-0166-44DD-8E94-EB64940EC8D2}">
      <formula1>lstCategorias</formula1>
    </dataValidation>
    <dataValidation type="list" allowBlank="1" showInputMessage="1" showErrorMessage="1" sqref="F8:F19" xr:uid="{482E1308-F0C7-4E3F-94B6-93C4F3A97E7E}">
      <formula1>lstPagamento</formula1>
    </dataValidation>
    <dataValidation type="whole" allowBlank="1" showInputMessage="1" showErrorMessage="1" sqref="E8:E19" xr:uid="{8F6E7747-9BEB-41D8-93DD-6645F74E6AE1}">
      <formula1>1</formula1>
      <formula2>31</formula2>
    </dataValidation>
  </dataValidations>
  <printOptions horizontalCentered="1"/>
  <pageMargins left="0.511811024" right="0.511811024" top="0.78740157499999996" bottom="0.78740157499999996" header="0.31496062000000002" footer="0.31496062000000002"/>
  <pageSetup paperSize="9" scale="72" fitToHeight="0" orientation="landscape" r:id="rId1"/>
  <headerFooter>
    <oddFooter>&amp;CPágina &amp;P de &amp;N&amp;L&amp;A&amp;R&amp;8Criado por Otávio · ottavvi.dev</oddFooter>
  </headerFooter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2B595-6941-4381-8CB1-77FFE4D71C29}">
  <sheetPr>
    <tabColor rgb="FF6FD6C8"/>
    <pageSetUpPr fitToPage="1"/>
  </sheetPr>
  <dimension ref="B1:S26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35"/>
  <cols>
    <col min="1" max="1" width="2.77734375" style="2" customWidth="1"/>
    <col min="2" max="2" width="15.77734375" style="2" customWidth="1"/>
    <col min="3" max="3" width="24.77734375" style="2" customWidth="1"/>
    <col min="4" max="4" width="20.77734375" style="2" customWidth="1"/>
    <col min="5" max="5" width="12.77734375" style="2" customWidth="1"/>
    <col min="6" max="6" width="13.77734375" style="2" customWidth="1"/>
    <col min="7" max="7" width="12.77734375" style="2" customWidth="1"/>
    <col min="8" max="9" width="15.77734375" style="2" customWidth="1"/>
    <col min="10" max="10" width="13.77734375" style="2" customWidth="1"/>
    <col min="11" max="11" width="14.77734375" style="2" customWidth="1"/>
    <col min="12" max="12" width="15.77734375" style="2" customWidth="1"/>
    <col min="13" max="16" width="12.77734375" style="2" customWidth="1"/>
    <col min="17" max="17" width="13.77734375" style="2" customWidth="1"/>
    <col min="18" max="16384" width="8.88671875" style="2"/>
  </cols>
  <sheetData>
    <row r="1" spans="2:19" ht="34.049999999999997" customHeight="1" x14ac:dyDescent="0.35">
      <c r="B1" s="4" t="s">
        <v>216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2:19" ht="19.95" customHeight="1" x14ac:dyDescent="0.35">
      <c r="B2" s="5" t="s">
        <v>217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2:19" ht="19.95" customHeight="1" x14ac:dyDescent="0.35">
      <c r="B3" s="7" t="str">
        <f>HYPERLINK("#'Painel'!A1","Painel")</f>
        <v>Painel</v>
      </c>
      <c r="C3" s="7" t="str">
        <f>HYPERLINK("#'Celular'!A1","Celular")</f>
        <v>Celular</v>
      </c>
      <c r="D3" s="7" t="str">
        <f>HYPERLINK("#'Lançamentos'!A1","Lançamentos")</f>
        <v>Lançamentos</v>
      </c>
      <c r="E3" s="7" t="str">
        <f>HYPERLINK("#'Contas fixas'!A1","Contas")</f>
        <v>Contas</v>
      </c>
      <c r="F3" s="8" t="s">
        <v>218</v>
      </c>
      <c r="G3" s="7" t="str">
        <f>HYPERLINK("#'Dívidas'!A1","Dívidas")</f>
        <v>Dívidas</v>
      </c>
      <c r="H3" s="7" t="str">
        <f>HYPERLINK("#'Categorias'!A1","Categorias")</f>
        <v>Categorias</v>
      </c>
      <c r="I3" s="7" t="str">
        <f>HYPERLINK("#'Metas'!A1","Metas")</f>
        <v>Metas</v>
      </c>
      <c r="J3" s="7" t="str">
        <f>HYPERLINK("#'Patrimônio'!A1","Patrimônio")</f>
        <v>Patrimônio</v>
      </c>
      <c r="K3" s="7" t="str">
        <f>HYPERLINK("#'Simulador'!A1","Simulador")</f>
        <v>Simulador</v>
      </c>
      <c r="L3" s="7" t="str">
        <f>HYPERLINK("#'Resumo'!A1","Resumo")</f>
        <v>Resumo</v>
      </c>
      <c r="M3" s="7" t="str">
        <f>HYPERLINK("#'Como usar'!A1","Ajuda")</f>
        <v>Ajuda</v>
      </c>
      <c r="N3" s="6"/>
      <c r="O3" s="6"/>
      <c r="P3" s="6"/>
      <c r="Q3" s="6"/>
      <c r="R3" s="6"/>
      <c r="S3" s="6"/>
    </row>
    <row r="5" spans="2:19" x14ac:dyDescent="0.35">
      <c r="B5" s="12" t="s">
        <v>83</v>
      </c>
      <c r="C5" s="70">
        <v>46296</v>
      </c>
    </row>
    <row r="7" spans="2:19" ht="15.6" thickBot="1" x14ac:dyDescent="0.4">
      <c r="B7" s="16" t="s">
        <v>218</v>
      </c>
      <c r="C7" s="16" t="s">
        <v>219</v>
      </c>
      <c r="D7" s="16" t="s">
        <v>220</v>
      </c>
      <c r="E7" s="16" t="s">
        <v>221</v>
      </c>
      <c r="G7" s="16" t="s">
        <v>218</v>
      </c>
      <c r="H7" s="86" t="s">
        <v>237</v>
      </c>
      <c r="I7" s="86" t="s">
        <v>238</v>
      </c>
      <c r="J7" s="86" t="s">
        <v>221</v>
      </c>
      <c r="K7" s="86" t="s">
        <v>239</v>
      </c>
      <c r="M7" s="16" t="s">
        <v>241</v>
      </c>
      <c r="N7" s="86" t="str">
        <f>IFERROR(INDEX(tbCartoes[Cartão],COLUMNS($N7:N7)),"")</f>
        <v>Nubank</v>
      </c>
      <c r="O7" s="86" t="str">
        <f>IFERROR(INDEX(tbCartoes[Cartão],COLUMNS($N7:O7)),"")</f>
        <v>Inter</v>
      </c>
      <c r="P7" s="86" t="str">
        <f>IFERROR(INDEX(tbCartoes[Cartão],COLUMNS($N7:P7)),"")</f>
        <v/>
      </c>
      <c r="Q7" s="86" t="s">
        <v>113</v>
      </c>
    </row>
    <row r="8" spans="2:19" x14ac:dyDescent="0.35">
      <c r="B8" s="158" t="s">
        <v>184</v>
      </c>
      <c r="C8" s="160">
        <v>3</v>
      </c>
      <c r="D8" s="160">
        <v>10</v>
      </c>
      <c r="E8" s="170">
        <v>6000</v>
      </c>
      <c r="G8" s="71" t="str">
        <f>IFERROR(INDEX(tbCartoes[Cartão],ROWS(G$8:G8)),"")</f>
        <v>Nubank</v>
      </c>
      <c r="H8" s="80">
        <f>IF($G8="","",SUMIFS(tbParcelas[Valor no mês],tbParcelas[Cartão],$G8))</f>
        <v>720</v>
      </c>
      <c r="I8" s="80">
        <f>IF($G8="","",H8+SUMIFS(tbParcelas[A pagar depois],tbParcelas[Cartão],$G8))</f>
        <v>5520</v>
      </c>
      <c r="J8" s="80">
        <f>IF($G8="","",INDEX(tbCartoes[Limite],MATCH($G8,tbCartoes[Cartão],0)))</f>
        <v>6000</v>
      </c>
      <c r="K8" s="80">
        <f t="shared" ref="K8:K10" si="0">IF($G8="","",J8-I8)</f>
        <v>480</v>
      </c>
      <c r="M8" s="19">
        <f>$C$5</f>
        <v>46296</v>
      </c>
      <c r="N8" s="80">
        <f>IF(N$7="","",SUMPRODUCT(tbParcelas[Valor da parcela]*(tbParcelas[Cartão]=N$7)*(tbParcelas[1ª fatura]&lt;=$M8)*(tbParcelas[Última fatura]&gt;=$M8)))</f>
        <v>720</v>
      </c>
      <c r="O8" s="80">
        <f>IF(O$7="","",SUMPRODUCT(tbParcelas[Valor da parcela]*(tbParcelas[Cartão]=O$7)*(tbParcelas[1ª fatura]&lt;=$M8)*(tbParcelas[Última fatura]&gt;=$M8)))</f>
        <v>200</v>
      </c>
      <c r="P8" s="80" t="str">
        <f>IF(P$7="","",SUMPRODUCT(tbParcelas[Valor da parcela]*(tbParcelas[Cartão]=P$7)*(tbParcelas[1ª fatura]&lt;=$M8)*(tbParcelas[Última fatura]&gt;=$M8)))</f>
        <v/>
      </c>
      <c r="Q8" s="120">
        <f t="shared" ref="Q8:Q19" si="1">SUM(N8:P8)</f>
        <v>920</v>
      </c>
    </row>
    <row r="9" spans="2:19" x14ac:dyDescent="0.35">
      <c r="B9" s="164" t="s">
        <v>222</v>
      </c>
      <c r="C9" s="166">
        <v>25</v>
      </c>
      <c r="D9" s="166">
        <v>5</v>
      </c>
      <c r="E9" s="171">
        <v>3000</v>
      </c>
      <c r="G9" s="73" t="str">
        <f>IFERROR(INDEX(tbCartoes[Cartão],ROWS(G$8:G9)),"")</f>
        <v>Inter</v>
      </c>
      <c r="H9" s="82">
        <f>IF($G9="","",SUMIFS(tbParcelas[Valor no mês],tbParcelas[Cartão],$G9))</f>
        <v>200</v>
      </c>
      <c r="I9" s="82">
        <f>IF($G9="","",H9+SUMIFS(tbParcelas[A pagar depois],tbParcelas[Cartão],$G9))</f>
        <v>1200</v>
      </c>
      <c r="J9" s="82">
        <f>IF($G9="","",INDEX(tbCartoes[Limite],MATCH($G9,tbCartoes[Cartão],0)))</f>
        <v>3000</v>
      </c>
      <c r="K9" s="82">
        <f t="shared" si="0"/>
        <v>1800</v>
      </c>
      <c r="M9" s="22">
        <f t="shared" ref="M9:M19" si="2">EDATE(M8,1)</f>
        <v>46327</v>
      </c>
      <c r="N9" s="82">
        <f>IF(N$7="","",SUMPRODUCT(tbParcelas[Valor da parcela]*(tbParcelas[Cartão]=N$7)*(tbParcelas[1ª fatura]&lt;=$M9)*(tbParcelas[Última fatura]&gt;=$M9)))</f>
        <v>720</v>
      </c>
      <c r="O9" s="82">
        <f>IF(O$7="","",SUMPRODUCT(tbParcelas[Valor da parcela]*(tbParcelas[Cartão]=O$7)*(tbParcelas[1ª fatura]&lt;=$M9)*(tbParcelas[Última fatura]&gt;=$M9)))</f>
        <v>200</v>
      </c>
      <c r="P9" s="82" t="str">
        <f>IF(P$7="","",SUMPRODUCT(tbParcelas[Valor da parcela]*(tbParcelas[Cartão]=P$7)*(tbParcelas[1ª fatura]&lt;=$M9)*(tbParcelas[Última fatura]&gt;=$M9)))</f>
        <v/>
      </c>
      <c r="Q9" s="121">
        <f t="shared" si="1"/>
        <v>920</v>
      </c>
    </row>
    <row r="10" spans="2:19" ht="15.6" thickBot="1" x14ac:dyDescent="0.4">
      <c r="G10" s="118" t="str">
        <f>IFERROR(INDEX(tbCartoes[Cartão],ROWS(G$8:G10)),"")</f>
        <v/>
      </c>
      <c r="H10" s="119" t="str">
        <f>IF($G10="","",SUMIFS(tbParcelas[Valor no mês],tbParcelas[Cartão],$G10))</f>
        <v/>
      </c>
      <c r="I10" s="119" t="str">
        <f>IF($G10="","",H10+SUMIFS(tbParcelas[A pagar depois],tbParcelas[Cartão],$G10))</f>
        <v/>
      </c>
      <c r="J10" s="119" t="str">
        <f>IF($G10="","",INDEX(tbCartoes[Limite],MATCH($G10,tbCartoes[Cartão],0)))</f>
        <v/>
      </c>
      <c r="K10" s="119" t="str">
        <f t="shared" si="0"/>
        <v/>
      </c>
      <c r="M10" s="22">
        <f t="shared" si="2"/>
        <v>46357</v>
      </c>
      <c r="N10" s="82">
        <f>IF(N$7="","",SUMPRODUCT(tbParcelas[Valor da parcela]*(tbParcelas[Cartão]=N$7)*(tbParcelas[1ª fatura]&lt;=$M10)*(tbParcelas[Última fatura]&gt;=$M10)))</f>
        <v>720</v>
      </c>
      <c r="O10" s="82">
        <f>IF(O$7="","",SUMPRODUCT(tbParcelas[Valor da parcela]*(tbParcelas[Cartão]=O$7)*(tbParcelas[1ª fatura]&lt;=$M10)*(tbParcelas[Última fatura]&gt;=$M10)))</f>
        <v>200</v>
      </c>
      <c r="P10" s="82" t="str">
        <f>IF(P$7="","",SUMPRODUCT(tbParcelas[Valor da parcela]*(tbParcelas[Cartão]=P$7)*(tbParcelas[1ª fatura]&lt;=$M10)*(tbParcelas[Última fatura]&gt;=$M10)))</f>
        <v/>
      </c>
      <c r="Q10" s="121">
        <f t="shared" si="1"/>
        <v>920</v>
      </c>
    </row>
    <row r="11" spans="2:19" x14ac:dyDescent="0.35">
      <c r="G11" s="12" t="s">
        <v>113</v>
      </c>
      <c r="H11" s="117">
        <f>SUM(H8:H10)</f>
        <v>920</v>
      </c>
      <c r="I11" s="117">
        <f>SUM(I8:I10)</f>
        <v>6720</v>
      </c>
      <c r="J11" s="117">
        <f>SUM(J8:J10)</f>
        <v>9000</v>
      </c>
      <c r="K11" s="117">
        <f>SUM(K8:K10)</f>
        <v>2280</v>
      </c>
      <c r="M11" s="22">
        <f t="shared" si="2"/>
        <v>46388</v>
      </c>
      <c r="N11" s="82">
        <f>IF(N$7="","",SUMPRODUCT(tbParcelas[Valor da parcela]*(tbParcelas[Cartão]=N$7)*(tbParcelas[1ª fatura]&lt;=$M11)*(tbParcelas[Última fatura]&gt;=$M11)))</f>
        <v>560</v>
      </c>
      <c r="O11" s="82">
        <f>IF(O$7="","",SUMPRODUCT(tbParcelas[Valor da parcela]*(tbParcelas[Cartão]=O$7)*(tbParcelas[1ª fatura]&lt;=$M11)*(tbParcelas[Última fatura]&gt;=$M11)))</f>
        <v>200</v>
      </c>
      <c r="P11" s="82" t="str">
        <f>IF(P$7="","",SUMPRODUCT(tbParcelas[Valor da parcela]*(tbParcelas[Cartão]=P$7)*(tbParcelas[1ª fatura]&lt;=$M11)*(tbParcelas[Última fatura]&gt;=$M11)))</f>
        <v/>
      </c>
      <c r="Q11" s="121">
        <f t="shared" si="1"/>
        <v>760</v>
      </c>
    </row>
    <row r="12" spans="2:19" x14ac:dyDescent="0.35">
      <c r="M12" s="22">
        <f t="shared" si="2"/>
        <v>46419</v>
      </c>
      <c r="N12" s="82">
        <f>IF(N$7="","",SUMPRODUCT(tbParcelas[Valor da parcela]*(tbParcelas[Cartão]=N$7)*(tbParcelas[1ª fatura]&lt;=$M12)*(tbParcelas[Última fatura]&gt;=$M12)))</f>
        <v>560</v>
      </c>
      <c r="O12" s="82">
        <f>IF(O$7="","",SUMPRODUCT(tbParcelas[Valor da parcela]*(tbParcelas[Cartão]=O$7)*(tbParcelas[1ª fatura]&lt;=$M12)*(tbParcelas[Última fatura]&gt;=$M12)))</f>
        <v>200</v>
      </c>
      <c r="P12" s="82" t="str">
        <f>IF(P$7="","",SUMPRODUCT(tbParcelas[Valor da parcela]*(tbParcelas[Cartão]=P$7)*(tbParcelas[1ª fatura]&lt;=$M12)*(tbParcelas[Última fatura]&gt;=$M12)))</f>
        <v/>
      </c>
      <c r="Q12" s="121">
        <f t="shared" si="1"/>
        <v>760</v>
      </c>
    </row>
    <row r="13" spans="2:19" x14ac:dyDescent="0.35">
      <c r="G13" s="49" t="s">
        <v>240</v>
      </c>
      <c r="M13" s="22">
        <f t="shared" si="2"/>
        <v>46447</v>
      </c>
      <c r="N13" s="82">
        <f>IF(N$7="","",SUMPRODUCT(tbParcelas[Valor da parcela]*(tbParcelas[Cartão]=N$7)*(tbParcelas[1ª fatura]&lt;=$M13)*(tbParcelas[Última fatura]&gt;=$M13)))</f>
        <v>560</v>
      </c>
      <c r="O13" s="82">
        <f>IF(O$7="","",SUMPRODUCT(tbParcelas[Valor da parcela]*(tbParcelas[Cartão]=O$7)*(tbParcelas[1ª fatura]&lt;=$M13)*(tbParcelas[Última fatura]&gt;=$M13)))</f>
        <v>200</v>
      </c>
      <c r="P13" s="82" t="str">
        <f>IF(P$7="","",SUMPRODUCT(tbParcelas[Valor da parcela]*(tbParcelas[Cartão]=P$7)*(tbParcelas[1ª fatura]&lt;=$M13)*(tbParcelas[Última fatura]&gt;=$M13)))</f>
        <v/>
      </c>
      <c r="Q13" s="121">
        <f t="shared" si="1"/>
        <v>760</v>
      </c>
    </row>
    <row r="14" spans="2:19" x14ac:dyDescent="0.35">
      <c r="M14" s="22">
        <f t="shared" si="2"/>
        <v>46478</v>
      </c>
      <c r="N14" s="82">
        <f>IF(N$7="","",SUMPRODUCT(tbParcelas[Valor da parcela]*(tbParcelas[Cartão]=N$7)*(tbParcelas[1ª fatura]&lt;=$M14)*(tbParcelas[Última fatura]&gt;=$M14)))</f>
        <v>560</v>
      </c>
      <c r="O14" s="82">
        <f>IF(O$7="","",SUMPRODUCT(tbParcelas[Valor da parcela]*(tbParcelas[Cartão]=O$7)*(tbParcelas[1ª fatura]&lt;=$M14)*(tbParcelas[Última fatura]&gt;=$M14)))</f>
        <v>0</v>
      </c>
      <c r="P14" s="82" t="str">
        <f>IF(P$7="","",SUMPRODUCT(tbParcelas[Valor da parcela]*(tbParcelas[Cartão]=P$7)*(tbParcelas[1ª fatura]&lt;=$M14)*(tbParcelas[Última fatura]&gt;=$M14)))</f>
        <v/>
      </c>
      <c r="Q14" s="121">
        <f t="shared" si="1"/>
        <v>560</v>
      </c>
    </row>
    <row r="15" spans="2:19" x14ac:dyDescent="0.35">
      <c r="M15" s="22">
        <f t="shared" si="2"/>
        <v>46508</v>
      </c>
      <c r="N15" s="82">
        <f>IF(N$7="","",SUMPRODUCT(tbParcelas[Valor da parcela]*(tbParcelas[Cartão]=N$7)*(tbParcelas[1ª fatura]&lt;=$M15)*(tbParcelas[Última fatura]&gt;=$M15)))</f>
        <v>560</v>
      </c>
      <c r="O15" s="82">
        <f>IF(O$7="","",SUMPRODUCT(tbParcelas[Valor da parcela]*(tbParcelas[Cartão]=O$7)*(tbParcelas[1ª fatura]&lt;=$M15)*(tbParcelas[Última fatura]&gt;=$M15)))</f>
        <v>0</v>
      </c>
      <c r="P15" s="82" t="str">
        <f>IF(P$7="","",SUMPRODUCT(tbParcelas[Valor da parcela]*(tbParcelas[Cartão]=P$7)*(tbParcelas[1ª fatura]&lt;=$M15)*(tbParcelas[Última fatura]&gt;=$M15)))</f>
        <v/>
      </c>
      <c r="Q15" s="121">
        <f t="shared" si="1"/>
        <v>560</v>
      </c>
    </row>
    <row r="16" spans="2:19" x14ac:dyDescent="0.35">
      <c r="M16" s="22">
        <f t="shared" si="2"/>
        <v>46539</v>
      </c>
      <c r="N16" s="82">
        <f>IF(N$7="","",SUMPRODUCT(tbParcelas[Valor da parcela]*(tbParcelas[Cartão]=N$7)*(tbParcelas[1ª fatura]&lt;=$M16)*(tbParcelas[Última fatura]&gt;=$M16)))</f>
        <v>560</v>
      </c>
      <c r="O16" s="82">
        <f>IF(O$7="","",SUMPRODUCT(tbParcelas[Valor da parcela]*(tbParcelas[Cartão]=O$7)*(tbParcelas[1ª fatura]&lt;=$M16)*(tbParcelas[Última fatura]&gt;=$M16)))</f>
        <v>0</v>
      </c>
      <c r="P16" s="82" t="str">
        <f>IF(P$7="","",SUMPRODUCT(tbParcelas[Valor da parcela]*(tbParcelas[Cartão]=P$7)*(tbParcelas[1ª fatura]&lt;=$M16)*(tbParcelas[Última fatura]&gt;=$M16)))</f>
        <v/>
      </c>
      <c r="Q16" s="121">
        <f t="shared" si="1"/>
        <v>560</v>
      </c>
    </row>
    <row r="17" spans="2:17" x14ac:dyDescent="0.35">
      <c r="M17" s="22">
        <f t="shared" si="2"/>
        <v>46569</v>
      </c>
      <c r="N17" s="82">
        <f>IF(N$7="","",SUMPRODUCT(tbParcelas[Valor da parcela]*(tbParcelas[Cartão]=N$7)*(tbParcelas[1ª fatura]&lt;=$M17)*(tbParcelas[Última fatura]&gt;=$M17)))</f>
        <v>0</v>
      </c>
      <c r="O17" s="82">
        <f>IF(O$7="","",SUMPRODUCT(tbParcelas[Valor da parcela]*(tbParcelas[Cartão]=O$7)*(tbParcelas[1ª fatura]&lt;=$M17)*(tbParcelas[Última fatura]&gt;=$M17)))</f>
        <v>0</v>
      </c>
      <c r="P17" s="82" t="str">
        <f>IF(P$7="","",SUMPRODUCT(tbParcelas[Valor da parcela]*(tbParcelas[Cartão]=P$7)*(tbParcelas[1ª fatura]&lt;=$M17)*(tbParcelas[Última fatura]&gt;=$M17)))</f>
        <v/>
      </c>
      <c r="Q17" s="121">
        <f t="shared" si="1"/>
        <v>0</v>
      </c>
    </row>
    <row r="18" spans="2:17" x14ac:dyDescent="0.35">
      <c r="M18" s="22">
        <f t="shared" si="2"/>
        <v>46600</v>
      </c>
      <c r="N18" s="82">
        <f>IF(N$7="","",SUMPRODUCT(tbParcelas[Valor da parcela]*(tbParcelas[Cartão]=N$7)*(tbParcelas[1ª fatura]&lt;=$M18)*(tbParcelas[Última fatura]&gt;=$M18)))</f>
        <v>0</v>
      </c>
      <c r="O18" s="82">
        <f>IF(O$7="","",SUMPRODUCT(tbParcelas[Valor da parcela]*(tbParcelas[Cartão]=O$7)*(tbParcelas[1ª fatura]&lt;=$M18)*(tbParcelas[Última fatura]&gt;=$M18)))</f>
        <v>0</v>
      </c>
      <c r="P18" s="82" t="str">
        <f>IF(P$7="","",SUMPRODUCT(tbParcelas[Valor da parcela]*(tbParcelas[Cartão]=P$7)*(tbParcelas[1ª fatura]&lt;=$M18)*(tbParcelas[Última fatura]&gt;=$M18)))</f>
        <v/>
      </c>
      <c r="Q18" s="121">
        <f t="shared" si="1"/>
        <v>0</v>
      </c>
    </row>
    <row r="19" spans="2:17" x14ac:dyDescent="0.35">
      <c r="M19" s="122">
        <f t="shared" si="2"/>
        <v>46631</v>
      </c>
      <c r="N19" s="84">
        <f>IF(N$7="","",SUMPRODUCT(tbParcelas[Valor da parcela]*(tbParcelas[Cartão]=N$7)*(tbParcelas[1ª fatura]&lt;=$M19)*(tbParcelas[Última fatura]&gt;=$M19)))</f>
        <v>0</v>
      </c>
      <c r="O19" s="84">
        <f>IF(O$7="","",SUMPRODUCT(tbParcelas[Valor da parcela]*(tbParcelas[Cartão]=O$7)*(tbParcelas[1ª fatura]&lt;=$M19)*(tbParcelas[Última fatura]&gt;=$M19)))</f>
        <v>0</v>
      </c>
      <c r="P19" s="84" t="str">
        <f>IF(P$7="","",SUMPRODUCT(tbParcelas[Valor da parcela]*(tbParcelas[Cartão]=P$7)*(tbParcelas[1ª fatura]&lt;=$M19)*(tbParcelas[Última fatura]&gt;=$M19)))</f>
        <v/>
      </c>
      <c r="Q19" s="123">
        <f t="shared" si="1"/>
        <v>0</v>
      </c>
    </row>
    <row r="21" spans="2:17" ht="19.2" x14ac:dyDescent="0.45">
      <c r="B21" s="31" t="s">
        <v>223</v>
      </c>
    </row>
    <row r="22" spans="2:17" ht="15.6" thickBot="1" x14ac:dyDescent="0.4">
      <c r="B22" s="16" t="s">
        <v>224</v>
      </c>
      <c r="C22" s="16" t="s">
        <v>44</v>
      </c>
      <c r="D22" s="16" t="s">
        <v>3</v>
      </c>
      <c r="E22" s="16" t="s">
        <v>218</v>
      </c>
      <c r="F22" s="16" t="s">
        <v>225</v>
      </c>
      <c r="G22" s="16" t="s">
        <v>226</v>
      </c>
      <c r="H22" s="16" t="s">
        <v>231</v>
      </c>
      <c r="I22" s="16" t="s">
        <v>232</v>
      </c>
      <c r="J22" s="16" t="s">
        <v>233</v>
      </c>
      <c r="K22" s="16" t="s">
        <v>234</v>
      </c>
      <c r="L22" s="16" t="s">
        <v>235</v>
      </c>
      <c r="M22" s="16" t="s">
        <v>236</v>
      </c>
      <c r="N22" s="16" t="s">
        <v>134</v>
      </c>
    </row>
    <row r="23" spans="2:17" x14ac:dyDescent="0.35">
      <c r="B23" s="172">
        <v>46183</v>
      </c>
      <c r="C23" s="158" t="s">
        <v>227</v>
      </c>
      <c r="D23" s="158" t="s">
        <v>24</v>
      </c>
      <c r="E23" s="158" t="s">
        <v>184</v>
      </c>
      <c r="F23" s="159">
        <v>2400</v>
      </c>
      <c r="G23" s="160">
        <v>12</v>
      </c>
      <c r="H23" s="162">
        <f>IF(N(tbParcelas[[#This Row],[Parcelas]])=0,0,tbParcelas[[#This Row],[Valor total]]/tbParcelas[[#This Row],[Parcelas]])</f>
        <v>200</v>
      </c>
      <c r="I23" s="173">
        <f>IFERROR(EDATE(DATE(YEAR(tbParcelas[[#This Row],[Data da compra]]),MONTH(tbParcelas[[#This Row],[Data da compra]]),1),IF(DAY(tbParcelas[[#This Row],[Data da compra]])&gt;=INDEX(tbCartoes[Fecha dia],MATCH(tbParcelas[[#This Row],[Cartão]],tbCartoes[Cartão],0)),1,0)+IF(INDEX(tbCartoes[Vence dia],MATCH(tbParcelas[[#This Row],[Cartão]],tbCartoes[Cartão],0))&lt;=INDEX(tbCartoes[Fecha dia],MATCH(tbParcelas[[#This Row],[Cartão]],tbCartoes[Cartão],0)),1,0)),"")</f>
        <v>46204</v>
      </c>
      <c r="J23" s="173">
        <f>IF(tbParcelas[[#This Row],[1ª fatura]]="","",EDATE(tbParcelas[[#This Row],[1ª fatura]],tbParcelas[[#This Row],[Parcelas]]-1))</f>
        <v>46539</v>
      </c>
      <c r="K23" s="174" t="str">
        <f>IF(tbParcelas[[#This Row],[1ª fatura]]="","",IF(AND($C$5&gt;=tbParcelas[[#This Row],[1ª fatura]],$C$5&lt;=tbParcelas[[#This Row],[Última fatura]]),((YEAR($C$5)-YEAR(tbParcelas[[#This Row],[1ª fatura]]))*12+MONTH($C$5)-MONTH(tbParcelas[[#This Row],[1ª fatura]])+1)&amp;" de "&amp;tbParcelas[[#This Row],[Parcelas]],"—"))</f>
        <v>4 de 12</v>
      </c>
      <c r="L23" s="162">
        <f>IF(tbParcelas[[#This Row],[1ª fatura]]="",0,IF(AND($C$5&gt;=tbParcelas[[#This Row],[1ª fatura]],$C$5&lt;=tbParcelas[[#This Row],[Última fatura]]),tbParcelas[[#This Row],[Valor da parcela]],0))</f>
        <v>200</v>
      </c>
      <c r="M23" s="162">
        <f>IF(tbParcelas[[#This Row],[1ª fatura]]="",0,tbParcelas[[#This Row],[Valor da parcela]]*MAX(0,MIN(tbParcelas[[#This Row],[Parcelas]],(YEAR(tbParcelas[[#This Row],[Última fatura]])-YEAR($C$5))*12+MONTH(tbParcelas[[#This Row],[Última fatura]])-MONTH($C$5))))</f>
        <v>1600</v>
      </c>
      <c r="N23" s="175" t="str">
        <f>IF(tbParcelas[[#This Row],[Valor no mês]]=0,"—",IF(SUMIFS(tbLancamentos[Valor],tbLancamentos[Mês],$C$5,tbLancamentos[Descrição],tbParcelas[[#This Row],[Descrição]])&gt;0,"✓ Lançada","Lançar no mês"))</f>
        <v>Lançar no mês</v>
      </c>
    </row>
    <row r="24" spans="2:17" x14ac:dyDescent="0.35">
      <c r="B24" s="176">
        <v>46249</v>
      </c>
      <c r="C24" s="164" t="s">
        <v>228</v>
      </c>
      <c r="D24" s="164" t="s">
        <v>24</v>
      </c>
      <c r="E24" s="164" t="s">
        <v>184</v>
      </c>
      <c r="F24" s="165">
        <v>3600</v>
      </c>
      <c r="G24" s="166">
        <v>10</v>
      </c>
      <c r="H24" s="168">
        <f>IF(N(tbParcelas[[#This Row],[Parcelas]])=0,0,tbParcelas[[#This Row],[Valor total]]/tbParcelas[[#This Row],[Parcelas]])</f>
        <v>360</v>
      </c>
      <c r="I24" s="177">
        <f>IFERROR(EDATE(DATE(YEAR(tbParcelas[[#This Row],[Data da compra]]),MONTH(tbParcelas[[#This Row],[Data da compra]]),1),IF(DAY(tbParcelas[[#This Row],[Data da compra]])&gt;=INDEX(tbCartoes[Fecha dia],MATCH(tbParcelas[[#This Row],[Cartão]],tbCartoes[Cartão],0)),1,0)+IF(INDEX(tbCartoes[Vence dia],MATCH(tbParcelas[[#This Row],[Cartão]],tbCartoes[Cartão],0))&lt;=INDEX(tbCartoes[Fecha dia],MATCH(tbParcelas[[#This Row],[Cartão]],tbCartoes[Cartão],0)),1,0)),"")</f>
        <v>46266</v>
      </c>
      <c r="J24" s="177">
        <f>IF(tbParcelas[[#This Row],[1ª fatura]]="","",EDATE(tbParcelas[[#This Row],[1ª fatura]],tbParcelas[[#This Row],[Parcelas]]-1))</f>
        <v>46539</v>
      </c>
      <c r="K24" s="178" t="str">
        <f>IF(tbParcelas[[#This Row],[1ª fatura]]="","",IF(AND($C$5&gt;=tbParcelas[[#This Row],[1ª fatura]],$C$5&lt;=tbParcelas[[#This Row],[Última fatura]]),((YEAR($C$5)-YEAR(tbParcelas[[#This Row],[1ª fatura]]))*12+MONTH($C$5)-MONTH(tbParcelas[[#This Row],[1ª fatura]])+1)&amp;" de "&amp;tbParcelas[[#This Row],[Parcelas]],"—"))</f>
        <v>2 de 10</v>
      </c>
      <c r="L24" s="168">
        <f>IF(tbParcelas[[#This Row],[1ª fatura]]="",0,IF(AND($C$5&gt;=tbParcelas[[#This Row],[1ª fatura]],$C$5&lt;=tbParcelas[[#This Row],[Última fatura]]),tbParcelas[[#This Row],[Valor da parcela]],0))</f>
        <v>360</v>
      </c>
      <c r="M24" s="168">
        <f>IF(tbParcelas[[#This Row],[1ª fatura]]="",0,tbParcelas[[#This Row],[Valor da parcela]]*MAX(0,MIN(tbParcelas[[#This Row],[Parcelas]],(YEAR(tbParcelas[[#This Row],[Última fatura]])-YEAR($C$5))*12+MONTH(tbParcelas[[#This Row],[Última fatura]])-MONTH($C$5))))</f>
        <v>2880</v>
      </c>
      <c r="N24" s="179" t="str">
        <f>IF(tbParcelas[[#This Row],[Valor no mês]]=0,"—",IF(SUMIFS(tbLancamentos[Valor],tbLancamentos[Mês],$C$5,tbLancamentos[Descrição],tbParcelas[[#This Row],[Descrição]])&gt;0,"✓ Lançada","Lançar no mês"))</f>
        <v>Lançar no mês</v>
      </c>
    </row>
    <row r="25" spans="2:17" x14ac:dyDescent="0.35">
      <c r="B25" s="176">
        <v>46285</v>
      </c>
      <c r="C25" s="164" t="s">
        <v>229</v>
      </c>
      <c r="D25" s="164" t="s">
        <v>19</v>
      </c>
      <c r="E25" s="164" t="s">
        <v>222</v>
      </c>
      <c r="F25" s="165">
        <v>1200</v>
      </c>
      <c r="G25" s="166">
        <v>6</v>
      </c>
      <c r="H25" s="168">
        <f>IF(N(tbParcelas[[#This Row],[Parcelas]])=0,0,tbParcelas[[#This Row],[Valor total]]/tbParcelas[[#This Row],[Parcelas]])</f>
        <v>200</v>
      </c>
      <c r="I25" s="177">
        <f>IFERROR(EDATE(DATE(YEAR(tbParcelas[[#This Row],[Data da compra]]),MONTH(tbParcelas[[#This Row],[Data da compra]]),1),IF(DAY(tbParcelas[[#This Row],[Data da compra]])&gt;=INDEX(tbCartoes[Fecha dia],MATCH(tbParcelas[[#This Row],[Cartão]],tbCartoes[Cartão],0)),1,0)+IF(INDEX(tbCartoes[Vence dia],MATCH(tbParcelas[[#This Row],[Cartão]],tbCartoes[Cartão],0))&lt;=INDEX(tbCartoes[Fecha dia],MATCH(tbParcelas[[#This Row],[Cartão]],tbCartoes[Cartão],0)),1,0)),"")</f>
        <v>46296</v>
      </c>
      <c r="J25" s="177">
        <f>IF(tbParcelas[[#This Row],[1ª fatura]]="","",EDATE(tbParcelas[[#This Row],[1ª fatura]],tbParcelas[[#This Row],[Parcelas]]-1))</f>
        <v>46447</v>
      </c>
      <c r="K25" s="178" t="str">
        <f>IF(tbParcelas[[#This Row],[1ª fatura]]="","",IF(AND($C$5&gt;=tbParcelas[[#This Row],[1ª fatura]],$C$5&lt;=tbParcelas[[#This Row],[Última fatura]]),((YEAR($C$5)-YEAR(tbParcelas[[#This Row],[1ª fatura]]))*12+MONTH($C$5)-MONTH(tbParcelas[[#This Row],[1ª fatura]])+1)&amp;" de "&amp;tbParcelas[[#This Row],[Parcelas]],"—"))</f>
        <v>1 de 6</v>
      </c>
      <c r="L25" s="168">
        <f>IF(tbParcelas[[#This Row],[1ª fatura]]="",0,IF(AND($C$5&gt;=tbParcelas[[#This Row],[1ª fatura]],$C$5&lt;=tbParcelas[[#This Row],[Última fatura]]),tbParcelas[[#This Row],[Valor da parcela]],0))</f>
        <v>200</v>
      </c>
      <c r="M25" s="168">
        <f>IF(tbParcelas[[#This Row],[1ª fatura]]="",0,tbParcelas[[#This Row],[Valor da parcela]]*MAX(0,MIN(tbParcelas[[#This Row],[Parcelas]],(YEAR(tbParcelas[[#This Row],[Última fatura]])-YEAR($C$5))*12+MONTH(tbParcelas[[#This Row],[Última fatura]])-MONTH($C$5))))</f>
        <v>1000</v>
      </c>
      <c r="N25" s="179" t="str">
        <f>IF(tbParcelas[[#This Row],[Valor no mês]]=0,"—",IF(SUMIFS(tbLancamentos[Valor],tbLancamentos[Mês],$C$5,tbLancamentos[Descrição],tbParcelas[[#This Row],[Descrição]])&gt;0,"✓ Lançada","Lançar no mês"))</f>
        <v>Lançar no mês</v>
      </c>
    </row>
    <row r="26" spans="2:17" x14ac:dyDescent="0.35">
      <c r="B26" s="176">
        <v>46297</v>
      </c>
      <c r="C26" s="164" t="s">
        <v>230</v>
      </c>
      <c r="D26" s="164" t="s">
        <v>24</v>
      </c>
      <c r="E26" s="164" t="s">
        <v>184</v>
      </c>
      <c r="F26" s="165">
        <v>480</v>
      </c>
      <c r="G26" s="166">
        <v>3</v>
      </c>
      <c r="H26" s="168">
        <f>IF(N(tbParcelas[[#This Row],[Parcelas]])=0,0,tbParcelas[[#This Row],[Valor total]]/tbParcelas[[#This Row],[Parcelas]])</f>
        <v>160</v>
      </c>
      <c r="I26" s="177">
        <f>IFERROR(EDATE(DATE(YEAR(tbParcelas[[#This Row],[Data da compra]]),MONTH(tbParcelas[[#This Row],[Data da compra]]),1),IF(DAY(tbParcelas[[#This Row],[Data da compra]])&gt;=INDEX(tbCartoes[Fecha dia],MATCH(tbParcelas[[#This Row],[Cartão]],tbCartoes[Cartão],0)),1,0)+IF(INDEX(tbCartoes[Vence dia],MATCH(tbParcelas[[#This Row],[Cartão]],tbCartoes[Cartão],0))&lt;=INDEX(tbCartoes[Fecha dia],MATCH(tbParcelas[[#This Row],[Cartão]],tbCartoes[Cartão],0)),1,0)),"")</f>
        <v>46296</v>
      </c>
      <c r="J26" s="177">
        <f>IF(tbParcelas[[#This Row],[1ª fatura]]="","",EDATE(tbParcelas[[#This Row],[1ª fatura]],tbParcelas[[#This Row],[Parcelas]]-1))</f>
        <v>46357</v>
      </c>
      <c r="K26" s="178" t="str">
        <f>IF(tbParcelas[[#This Row],[1ª fatura]]="","",IF(AND($C$5&gt;=tbParcelas[[#This Row],[1ª fatura]],$C$5&lt;=tbParcelas[[#This Row],[Última fatura]]),((YEAR($C$5)-YEAR(tbParcelas[[#This Row],[1ª fatura]]))*12+MONTH($C$5)-MONTH(tbParcelas[[#This Row],[1ª fatura]])+1)&amp;" de "&amp;tbParcelas[[#This Row],[Parcelas]],"—"))</f>
        <v>1 de 3</v>
      </c>
      <c r="L26" s="168">
        <f>IF(tbParcelas[[#This Row],[1ª fatura]]="",0,IF(AND($C$5&gt;=tbParcelas[[#This Row],[1ª fatura]],$C$5&lt;=tbParcelas[[#This Row],[Última fatura]]),tbParcelas[[#This Row],[Valor da parcela]],0))</f>
        <v>160</v>
      </c>
      <c r="M26" s="168">
        <f>IF(tbParcelas[[#This Row],[1ª fatura]]="",0,tbParcelas[[#This Row],[Valor da parcela]]*MAX(0,MIN(tbParcelas[[#This Row],[Parcelas]],(YEAR(tbParcelas[[#This Row],[Última fatura]])-YEAR($C$5))*12+MONTH(tbParcelas[[#This Row],[Última fatura]])-MONTH($C$5))))</f>
        <v>320</v>
      </c>
      <c r="N26" s="179" t="str">
        <f>IF(tbParcelas[[#This Row],[Valor no mês]]=0,"—",IF(SUMIFS(tbLancamentos[Valor],tbLancamentos[Mês],$C$5,tbLancamentos[Descrição],tbParcelas[[#This Row],[Descrição]])&gt;0,"✓ Lançada","Lançar no mês"))</f>
        <v>Lançar no mês</v>
      </c>
    </row>
  </sheetData>
  <conditionalFormatting sqref="K8:K11">
    <cfRule type="cellIs" dxfId="7" priority="4" stopIfTrue="1" operator="lessThan">
      <formula>0</formula>
    </cfRule>
  </conditionalFormatting>
  <conditionalFormatting sqref="N23:N26">
    <cfRule type="cellIs" dxfId="6" priority="1" stopIfTrue="1" operator="equal">
      <formula>"✓ Lançada"</formula>
    </cfRule>
    <cfRule type="cellIs" dxfId="5" priority="2" stopIfTrue="1" operator="equal">
      <formula>"Lançar no mês"</formula>
    </cfRule>
    <cfRule type="cellIs" dxfId="4" priority="3" stopIfTrue="1" operator="equal">
      <formula>"—"</formula>
    </cfRule>
  </conditionalFormatting>
  <dataValidations count="4">
    <dataValidation type="list" allowBlank="1" showInputMessage="1" sqref="C5" xr:uid="{A0ACDD04-F617-4662-8D1D-308BDF1F5EAE}">
      <formula1>lstMeses</formula1>
    </dataValidation>
    <dataValidation type="list" allowBlank="1" showInputMessage="1" showErrorMessage="1" sqref="D23:D26" xr:uid="{821F860F-A519-4B34-9DE7-0960C96302F3}">
      <formula1>lstCategorias</formula1>
    </dataValidation>
    <dataValidation type="list" allowBlank="1" showInputMessage="1" showErrorMessage="1" sqref="E23:E26" xr:uid="{89FEE2F1-125B-4CE7-BB49-FF9BAA860460}">
      <formula1>lstCartoes</formula1>
    </dataValidation>
    <dataValidation type="whole" allowBlank="1" showInputMessage="1" showErrorMessage="1" sqref="G23:G26" xr:uid="{F7A998F1-B311-49DC-ABED-3BEFC8513629}">
      <formula1>1</formula1>
      <formula2>72</formula2>
    </dataValidation>
  </dataValidations>
  <printOptions horizontalCentered="1"/>
  <pageMargins left="0.511811024" right="0.511811024" top="0.78740157499999996" bottom="0.78740157499999996" header="0.31496062000000002" footer="0.31496062000000002"/>
  <pageSetup paperSize="9" scale="40" orientation="landscape" r:id="rId1"/>
  <headerFooter>
    <oddFooter>&amp;CPágina &amp;P de &amp;N&amp;L&amp;A&amp;R&amp;8Criado por Otávio · ottavvi.dev</oddFooter>
  </headerFooter>
  <drawing r:id="rId2"/>
  <tableParts count="2">
    <tablePart r:id="rId3"/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C1EE5-12F8-4848-982B-8F1970AA46C7}">
  <sheetPr>
    <tabColor rgb="FFF0705A"/>
    <pageSetUpPr fitToPage="1"/>
  </sheetPr>
  <dimension ref="B1:S21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35"/>
  <cols>
    <col min="1" max="1" width="2.77734375" style="2" customWidth="1"/>
    <col min="2" max="2" width="26.77734375" style="2" customWidth="1"/>
    <col min="3" max="3" width="18.77734375" style="2" customWidth="1"/>
    <col min="4" max="4" width="15.77734375" style="2" customWidth="1"/>
    <col min="5" max="6" width="11.77734375" style="2" customWidth="1"/>
    <col min="7" max="7" width="14.77734375" style="2" customWidth="1"/>
    <col min="8" max="8" width="12.77734375" style="2" customWidth="1"/>
    <col min="9" max="10" width="11.77734375" style="2" customWidth="1"/>
    <col min="11" max="12" width="15.77734375" style="2" customWidth="1"/>
    <col min="13" max="13" width="14.77734375" style="2" customWidth="1"/>
    <col min="14" max="14" width="11.77734375" style="2" customWidth="1"/>
    <col min="15" max="15" width="12.77734375" style="2" customWidth="1"/>
    <col min="16" max="16384" width="8.88671875" style="2"/>
  </cols>
  <sheetData>
    <row r="1" spans="2:19" ht="34.049999999999997" customHeight="1" x14ac:dyDescent="0.35">
      <c r="B1" s="4" t="s">
        <v>242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2:19" ht="19.95" customHeight="1" x14ac:dyDescent="0.35">
      <c r="B2" s="5" t="s">
        <v>243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2:19" ht="19.95" customHeight="1" x14ac:dyDescent="0.35">
      <c r="B3" s="7" t="str">
        <f>HYPERLINK("#'Painel'!A1","Painel")</f>
        <v>Painel</v>
      </c>
      <c r="C3" s="7" t="str">
        <f>HYPERLINK("#'Celular'!A1","Celular")</f>
        <v>Celular</v>
      </c>
      <c r="D3" s="7" t="str">
        <f>HYPERLINK("#'Lançamentos'!A1","Lançamentos")</f>
        <v>Lançamentos</v>
      </c>
      <c r="E3" s="7" t="str">
        <f>HYPERLINK("#'Contas fixas'!A1","Contas")</f>
        <v>Contas</v>
      </c>
      <c r="F3" s="7" t="str">
        <f>HYPERLINK("#'Cartão'!A1","Cartão")</f>
        <v>Cartão</v>
      </c>
      <c r="G3" s="8" t="s">
        <v>244</v>
      </c>
      <c r="H3" s="7" t="str">
        <f>HYPERLINK("#'Categorias'!A1","Categorias")</f>
        <v>Categorias</v>
      </c>
      <c r="I3" s="7" t="str">
        <f>HYPERLINK("#'Metas'!A1","Metas")</f>
        <v>Metas</v>
      </c>
      <c r="J3" s="7" t="str">
        <f>HYPERLINK("#'Patrimônio'!A1","Patrimônio")</f>
        <v>Patrimônio</v>
      </c>
      <c r="K3" s="7" t="str">
        <f>HYPERLINK("#'Simulador'!A1","Simulador")</f>
        <v>Simulador</v>
      </c>
      <c r="L3" s="7" t="str">
        <f>HYPERLINK("#'Resumo'!A1","Resumo")</f>
        <v>Resumo</v>
      </c>
      <c r="M3" s="7" t="str">
        <f>HYPERLINK("#'Como usar'!A1","Ajuda")</f>
        <v>Ajuda</v>
      </c>
      <c r="N3" s="6"/>
      <c r="O3" s="6"/>
    </row>
    <row r="5" spans="2:19" ht="30" customHeight="1" thickBot="1" x14ac:dyDescent="0.4">
      <c r="B5" s="157" t="s">
        <v>245</v>
      </c>
      <c r="C5" s="157" t="s">
        <v>246</v>
      </c>
      <c r="D5" s="157" t="s">
        <v>247</v>
      </c>
      <c r="E5" s="157" t="s">
        <v>248</v>
      </c>
      <c r="F5" s="157" t="s">
        <v>249</v>
      </c>
      <c r="G5" s="157" t="s">
        <v>231</v>
      </c>
      <c r="H5" s="157" t="s">
        <v>250</v>
      </c>
      <c r="I5" s="157" t="s">
        <v>251</v>
      </c>
      <c r="J5" s="157" t="s">
        <v>255</v>
      </c>
      <c r="K5" s="157" t="s">
        <v>256</v>
      </c>
      <c r="L5" s="157" t="s">
        <v>257</v>
      </c>
      <c r="M5" s="157" t="s">
        <v>258</v>
      </c>
      <c r="N5" s="157" t="s">
        <v>259</v>
      </c>
      <c r="O5" s="157" t="s">
        <v>98</v>
      </c>
      <c r="Q5" s="127" t="s">
        <v>245</v>
      </c>
      <c r="R5" s="127" t="s">
        <v>169</v>
      </c>
      <c r="S5" s="127" t="s">
        <v>170</v>
      </c>
    </row>
    <row r="6" spans="2:19" x14ac:dyDescent="0.35">
      <c r="B6" s="158" t="s">
        <v>252</v>
      </c>
      <c r="C6" s="158" t="s">
        <v>253</v>
      </c>
      <c r="D6" s="159">
        <v>18000</v>
      </c>
      <c r="E6" s="180">
        <v>1.29E-2</v>
      </c>
      <c r="F6" s="160">
        <v>36</v>
      </c>
      <c r="G6" s="159">
        <v>640</v>
      </c>
      <c r="H6" s="172">
        <v>45726</v>
      </c>
      <c r="I6" s="160">
        <v>19</v>
      </c>
      <c r="J6" s="181">
        <f>MAX(0,tbDividas[[#This Row],[Nº de parcelas]]-tbDividas[[#This Row],[Parcelas pagas]])</f>
        <v>17</v>
      </c>
      <c r="K6" s="162">
        <f>IF(tbDividas[[#This Row],[Restantes]]=0,0,IF(N(tbDividas[[#This Row],[Juros ao mês]])=0,tbDividas[[#This Row],[Valor da parcela]]*tbDividas[[#This Row],[Restantes]],PV(tbDividas[[#This Row],[Juros ao mês]],tbDividas[[#This Row],[Restantes]],-tbDividas[[#This Row],[Valor da parcela]])))</f>
        <v>9713.7206564287353</v>
      </c>
      <c r="L6" s="162">
        <f>tbDividas[[#This Row],[Valor da parcela]]*tbDividas[[#This Row],[Restantes]]</f>
        <v>10880</v>
      </c>
      <c r="M6" s="162">
        <f>tbDividas[[#This Row],[Total a pagar]]-tbDividas[[#This Row],[Saldo devedor]]</f>
        <v>1166.2793435712647</v>
      </c>
      <c r="N6" s="173">
        <f>IF(tbDividas[[#This Row],[1ª parcela]]="","",EDATE(tbDividas[[#This Row],[1ª parcela]],tbDividas[[#This Row],[Nº de parcelas]]-1))</f>
        <v>46793</v>
      </c>
      <c r="O6" s="182">
        <f>IF(N(tbDividas[[#This Row],[Nº de parcelas]])=0,"",tbDividas[[#This Row],[Parcelas pagas]]/tbDividas[[#This Row],[Nº de parcelas]])</f>
        <v>0.52777777777777779</v>
      </c>
      <c r="Q6" s="127" t="str">
        <f>IFERROR(INDEX(tbDividas[Dívida],ROWS(Q$6:Q6)),"")</f>
        <v>Financiamento do carro</v>
      </c>
      <c r="R6" s="127">
        <f>IF($Q6="","",INDEX(tbDividas[Valor da parcela],ROWS(R$6:R6))*INDEX(tbDividas[Parcelas pagas],ROWS(R$6:R6)))</f>
        <v>12160</v>
      </c>
      <c r="S6" s="127">
        <f>IF($Q6="","",INDEX(tbDividas[Total a pagar],ROWS(S$6:S6)))</f>
        <v>10880</v>
      </c>
    </row>
    <row r="7" spans="2:19" x14ac:dyDescent="0.35">
      <c r="B7" s="164" t="s">
        <v>254</v>
      </c>
      <c r="C7" s="164" t="s">
        <v>184</v>
      </c>
      <c r="D7" s="165">
        <v>5000</v>
      </c>
      <c r="E7" s="183">
        <v>3.2000000000000001E-2</v>
      </c>
      <c r="F7" s="166">
        <v>12</v>
      </c>
      <c r="G7" s="165">
        <v>512</v>
      </c>
      <c r="H7" s="176">
        <v>46117</v>
      </c>
      <c r="I7" s="166">
        <v>7</v>
      </c>
      <c r="J7" s="184">
        <f>MAX(0,tbDividas[[#This Row],[Nº de parcelas]]-tbDividas[[#This Row],[Parcelas pagas]])</f>
        <v>5</v>
      </c>
      <c r="K7" s="168">
        <f>IF(tbDividas[[#This Row],[Restantes]]=0,0,IF(N(tbDividas[[#This Row],[Juros ao mês]])=0,tbDividas[[#This Row],[Valor da parcela]]*tbDividas[[#This Row],[Restantes]],PV(tbDividas[[#This Row],[Juros ao mês]],tbDividas[[#This Row],[Restantes]],-tbDividas[[#This Row],[Valor da parcela]])))</f>
        <v>2331.4798859389016</v>
      </c>
      <c r="L7" s="168">
        <f>tbDividas[[#This Row],[Valor da parcela]]*tbDividas[[#This Row],[Restantes]]</f>
        <v>2560</v>
      </c>
      <c r="M7" s="168">
        <f>tbDividas[[#This Row],[Total a pagar]]-tbDividas[[#This Row],[Saldo devedor]]</f>
        <v>228.52011406109841</v>
      </c>
      <c r="N7" s="177">
        <f>IF(tbDividas[[#This Row],[1ª parcela]]="","",EDATE(tbDividas[[#This Row],[1ª parcela]],tbDividas[[#This Row],[Nº de parcelas]]-1))</f>
        <v>46451</v>
      </c>
      <c r="O7" s="185">
        <f>IF(N(tbDividas[[#This Row],[Nº de parcelas]])=0,"",tbDividas[[#This Row],[Parcelas pagas]]/tbDividas[[#This Row],[Nº de parcelas]])</f>
        <v>0.58333333333333337</v>
      </c>
      <c r="Q7" s="127" t="str">
        <f>IFERROR(INDEX(tbDividas[Dívida],ROWS(Q$6:Q7)),"")</f>
        <v>Empréstimo pessoal</v>
      </c>
      <c r="R7" s="127">
        <f>IF($Q7="","",INDEX(tbDividas[Valor da parcela],ROWS(R$6:R7))*INDEX(tbDividas[Parcelas pagas],ROWS(R$6:R7)))</f>
        <v>3584</v>
      </c>
      <c r="S7" s="127">
        <f>IF($Q7="","",INDEX(tbDividas[Total a pagar],ROWS(S$6:S7)))</f>
        <v>2560</v>
      </c>
    </row>
    <row r="8" spans="2:19" x14ac:dyDescent="0.35">
      <c r="Q8" s="127" t="str">
        <f>IFERROR(INDEX(tbDividas[Dívida],ROWS(Q$6:Q8)),"")</f>
        <v/>
      </c>
      <c r="R8" s="127" t="str">
        <f>IF($Q8="","",INDEX(tbDividas[Valor da parcela],ROWS(R$6:R8))*INDEX(tbDividas[Parcelas pagas],ROWS(R$6:R8)))</f>
        <v/>
      </c>
      <c r="S8" s="127" t="str">
        <f>IF($Q8="","",INDEX(tbDividas[Total a pagar],ROWS(S$6:S8)))</f>
        <v/>
      </c>
    </row>
    <row r="12" spans="2:19" ht="15.6" thickBot="1" x14ac:dyDescent="0.4">
      <c r="B12" s="16" t="s">
        <v>260</v>
      </c>
      <c r="C12" s="16"/>
    </row>
    <row r="13" spans="2:19" ht="19.8" x14ac:dyDescent="0.45">
      <c r="B13" s="71" t="s">
        <v>261</v>
      </c>
      <c r="C13" s="124">
        <f>SUM(tbDividas[Saldo devedor])</f>
        <v>12045.200542367636</v>
      </c>
    </row>
    <row r="14" spans="2:19" x14ac:dyDescent="0.35">
      <c r="B14" s="73" t="s">
        <v>262</v>
      </c>
      <c r="C14" s="74">
        <f>SUMIFS(tbDividas[Valor da parcela],tbDividas[Restantes],"&gt;0")</f>
        <v>1152</v>
      </c>
    </row>
    <row r="15" spans="2:19" x14ac:dyDescent="0.35">
      <c r="B15" s="73" t="s">
        <v>263</v>
      </c>
      <c r="C15" s="74">
        <f>SUM(tbDividas[Total a pagar])</f>
        <v>13440</v>
      </c>
    </row>
    <row r="16" spans="2:19" x14ac:dyDescent="0.35">
      <c r="B16" s="73" t="s">
        <v>264</v>
      </c>
      <c r="C16" s="74">
        <f>SUM(tbDividas[Juros a pagar])</f>
        <v>1394.7994576323631</v>
      </c>
    </row>
    <row r="17" spans="2:3" x14ac:dyDescent="0.35">
      <c r="B17" s="73" t="s">
        <v>265</v>
      </c>
      <c r="C17" s="125">
        <f>IFERROR(C14/AVERAGEIF(Resumo!$C$7:$C$18,"&gt;0"),"")</f>
        <v>0.1883685987583697</v>
      </c>
    </row>
    <row r="18" spans="2:3" x14ac:dyDescent="0.35">
      <c r="B18" s="76" t="s">
        <v>266</v>
      </c>
      <c r="C18" s="126">
        <f>IF(COUNT(tbDividas[Quitação])=0,"",MAX(tbDividas[Quitação]))</f>
        <v>46793</v>
      </c>
    </row>
    <row r="20" spans="2:3" x14ac:dyDescent="0.35">
      <c r="B20" s="49" t="s">
        <v>267</v>
      </c>
    </row>
    <row r="21" spans="2:3" x14ac:dyDescent="0.35">
      <c r="B21" s="49" t="s">
        <v>268</v>
      </c>
    </row>
  </sheetData>
  <conditionalFormatting sqref="C17">
    <cfRule type="cellIs" dxfId="3" priority="2" stopIfTrue="1" operator="greaterThan">
      <formula>0.3</formula>
    </cfRule>
  </conditionalFormatting>
  <conditionalFormatting sqref="O6:O7">
    <cfRule type="dataBar" priority="1">
      <dataBar>
        <cfvo type="num" val="0"/>
        <cfvo type="num" val="1"/>
        <color rgb="FF22B39A"/>
      </dataBar>
      <extLst>
        <ext xmlns:x14="http://schemas.microsoft.com/office/spreadsheetml/2009/9/main" uri="{B025F937-C7B1-47D3-B67F-A62EFF666E3E}">
          <x14:id>{259851FB-17CA-4A9E-B15A-355F28FDFC63}</x14:id>
        </ext>
      </extLst>
    </cfRule>
  </conditionalFormatting>
  <printOptions horizontalCentered="1"/>
  <pageMargins left="0.511811024" right="0.511811024" top="0.78740157499999996" bottom="0.78740157499999996" header="0.31496062000000002" footer="0.31496062000000002"/>
  <pageSetup paperSize="9" scale="55" orientation="landscape" r:id="rId1"/>
  <headerFooter>
    <oddFooter>&amp;CPágina &amp;P de &amp;N&amp;L&amp;A&amp;R&amp;8Criado por Otávio · ottavvi.dev</oddFooter>
  </headerFooter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59851FB-17CA-4A9E-B15A-355F28FDFC63}">
            <x14:dataBar minLength="0" maxLength="100" gradient="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O6:O7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15899-0C12-48E0-B29B-961D9D686CEC}">
  <sheetPr>
    <tabColor rgb="FF23404A"/>
    <pageSetUpPr fitToPage="1"/>
  </sheetPr>
  <dimension ref="B1:M27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35"/>
  <cols>
    <col min="1" max="1" width="2.77734375" style="2" customWidth="1"/>
    <col min="2" max="2" width="26.77734375" style="2" customWidth="1"/>
    <col min="3" max="3" width="14.77734375" style="2" customWidth="1"/>
    <col min="4" max="4" width="16.77734375" style="2" customWidth="1"/>
    <col min="5" max="5" width="18.77734375" style="2" customWidth="1"/>
    <col min="6" max="6" width="9.77734375" style="2" customWidth="1"/>
    <col min="7" max="7" width="8.88671875" style="2"/>
    <col min="8" max="9" width="14.77734375" style="2" customWidth="1"/>
    <col min="10" max="10" width="18.77734375" style="2" customWidth="1"/>
    <col min="11" max="16384" width="8.88671875" style="2"/>
  </cols>
  <sheetData>
    <row r="1" spans="2:13" ht="34.049999999999997" customHeight="1" x14ac:dyDescent="0.35">
      <c r="B1" s="4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2:13" ht="19.95" customHeight="1" x14ac:dyDescent="0.35">
      <c r="B2" s="5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2:13" ht="19.95" customHeight="1" x14ac:dyDescent="0.35">
      <c r="B3" s="7" t="str">
        <f>HYPERLINK("#'Painel'!A1","Painel")</f>
        <v>Painel</v>
      </c>
      <c r="C3" s="7" t="str">
        <f>HYPERLINK("#'Celular'!A1","Celular")</f>
        <v>Celular</v>
      </c>
      <c r="D3" s="7" t="str">
        <f>HYPERLINK("#'Lançamentos'!A1","Lançamentos")</f>
        <v>Lançamentos</v>
      </c>
      <c r="E3" s="7" t="str">
        <f>HYPERLINK("#'Contas fixas'!A1","Contas")</f>
        <v>Contas</v>
      </c>
      <c r="F3" s="7" t="str">
        <f>HYPERLINK("#'Cartão'!A1","Cartão")</f>
        <v>Cartão</v>
      </c>
      <c r="G3" s="7" t="str">
        <f>HYPERLINK("#'Dívidas'!A1","Dívidas")</f>
        <v>Dívidas</v>
      </c>
      <c r="H3" s="8" t="s">
        <v>2</v>
      </c>
      <c r="I3" s="7" t="str">
        <f>HYPERLINK("#'Metas'!A1","Metas")</f>
        <v>Metas</v>
      </c>
      <c r="J3" s="7" t="str">
        <f>HYPERLINK("#'Patrimônio'!A1","Patrimônio")</f>
        <v>Patrimônio</v>
      </c>
      <c r="K3" s="7" t="str">
        <f>HYPERLINK("#'Simulador'!A1","Simulador")</f>
        <v>Simulador</v>
      </c>
      <c r="L3" s="7" t="str">
        <f>HYPERLINK("#'Resumo'!A1","Resumo")</f>
        <v>Resumo</v>
      </c>
      <c r="M3" s="7" t="str">
        <f>HYPERLINK("#'Como usar'!A1","Ajuda")</f>
        <v>Ajuda</v>
      </c>
    </row>
    <row r="5" spans="2:13" ht="15.6" thickBot="1" x14ac:dyDescent="0.4">
      <c r="B5" s="16" t="s">
        <v>3</v>
      </c>
      <c r="C5" s="16" t="s">
        <v>4</v>
      </c>
      <c r="D5" s="16" t="s">
        <v>5</v>
      </c>
      <c r="E5" s="16" t="s">
        <v>6</v>
      </c>
      <c r="F5" s="16" t="s">
        <v>28</v>
      </c>
      <c r="H5" s="12" t="s">
        <v>29</v>
      </c>
    </row>
    <row r="6" spans="2:13" ht="15.6" thickBot="1" x14ac:dyDescent="0.4">
      <c r="B6" s="158" t="s">
        <v>7</v>
      </c>
      <c r="C6" s="158" t="s">
        <v>8</v>
      </c>
      <c r="D6" s="158" t="s">
        <v>9</v>
      </c>
      <c r="E6" s="159"/>
      <c r="F6" s="152" t="str">
        <f>IF(tbCategorias[[#This Row],[Tipo]]="Receita","",COUNTIF(INDEX(tbCategorias[Tipo],1):tbCategorias[[#This Row],[Tipo]],"&lt;&gt;Receita"))</f>
        <v/>
      </c>
      <c r="H6" s="9" t="s">
        <v>30</v>
      </c>
      <c r="I6" s="9" t="s">
        <v>31</v>
      </c>
      <c r="J6" s="9" t="s">
        <v>32</v>
      </c>
    </row>
    <row r="7" spans="2:13" x14ac:dyDescent="0.35">
      <c r="B7" s="164" t="s">
        <v>10</v>
      </c>
      <c r="C7" s="164" t="s">
        <v>8</v>
      </c>
      <c r="D7" s="164" t="s">
        <v>9</v>
      </c>
      <c r="E7" s="165"/>
      <c r="F7" s="155" t="str">
        <f>IF(tbCategorias[[#This Row],[Tipo]]="Receita","",COUNTIF(INDEX(tbCategorias[Tipo],1):tbCategorias[[#This Row],[Tipo]],"&lt;&gt;Receita"))</f>
        <v/>
      </c>
      <c r="H7" s="2" t="s">
        <v>8</v>
      </c>
      <c r="I7" s="2" t="s">
        <v>9</v>
      </c>
      <c r="J7" s="11" t="s">
        <v>33</v>
      </c>
    </row>
    <row r="8" spans="2:13" x14ac:dyDescent="0.35">
      <c r="B8" s="164" t="s">
        <v>11</v>
      </c>
      <c r="C8" s="164" t="s">
        <v>8</v>
      </c>
      <c r="D8" s="164" t="s">
        <v>9</v>
      </c>
      <c r="E8" s="165"/>
      <c r="F8" s="155" t="str">
        <f>IF(tbCategorias[[#This Row],[Tipo]]="Receita","",COUNTIF(INDEX(tbCategorias[Tipo],1):tbCategorias[[#This Row],[Tipo]],"&lt;&gt;Receita"))</f>
        <v/>
      </c>
      <c r="H8" s="2" t="s">
        <v>13</v>
      </c>
      <c r="I8" s="2" t="s">
        <v>14</v>
      </c>
      <c r="J8" s="11" t="s">
        <v>34</v>
      </c>
    </row>
    <row r="9" spans="2:13" x14ac:dyDescent="0.35">
      <c r="B9" s="164" t="s">
        <v>12</v>
      </c>
      <c r="C9" s="164" t="s">
        <v>13</v>
      </c>
      <c r="D9" s="164" t="s">
        <v>14</v>
      </c>
      <c r="E9" s="165">
        <v>1200</v>
      </c>
      <c r="F9" s="155">
        <f>IF(tbCategorias[[#This Row],[Tipo]]="Receita","",COUNTIF(INDEX(tbCategorias[Tipo],1):tbCategorias[[#This Row],[Tipo]],"&lt;&gt;Receita"))</f>
        <v>1</v>
      </c>
      <c r="H9" s="2" t="s">
        <v>27</v>
      </c>
      <c r="I9" s="2" t="s">
        <v>21</v>
      </c>
      <c r="J9" s="11" t="s">
        <v>35</v>
      </c>
    </row>
    <row r="10" spans="2:13" x14ac:dyDescent="0.35">
      <c r="B10" s="164" t="s">
        <v>15</v>
      </c>
      <c r="C10" s="164" t="s">
        <v>13</v>
      </c>
      <c r="D10" s="164" t="s">
        <v>14</v>
      </c>
      <c r="E10" s="165">
        <v>420</v>
      </c>
      <c r="F10" s="155">
        <f>IF(tbCategorias[[#This Row],[Tipo]]="Receita","",COUNTIF(INDEX(tbCategorias[Tipo],1):tbCategorias[[#This Row],[Tipo]],"&lt;&gt;Receita"))</f>
        <v>2</v>
      </c>
      <c r="I10" s="2" t="s">
        <v>27</v>
      </c>
      <c r="J10" s="11" t="s">
        <v>36</v>
      </c>
    </row>
    <row r="11" spans="2:13" x14ac:dyDescent="0.35">
      <c r="B11" s="164" t="s">
        <v>16</v>
      </c>
      <c r="C11" s="164" t="s">
        <v>13</v>
      </c>
      <c r="D11" s="164" t="s">
        <v>14</v>
      </c>
      <c r="E11" s="165">
        <v>950</v>
      </c>
      <c r="F11" s="155">
        <f>IF(tbCategorias[[#This Row],[Tipo]]="Receita","",COUNTIF(INDEX(tbCategorias[Tipo],1):tbCategorias[[#This Row],[Tipo]],"&lt;&gt;Receita"))</f>
        <v>3</v>
      </c>
      <c r="J11" s="11" t="s">
        <v>37</v>
      </c>
    </row>
    <row r="12" spans="2:13" x14ac:dyDescent="0.35">
      <c r="B12" s="164" t="s">
        <v>17</v>
      </c>
      <c r="C12" s="164" t="s">
        <v>13</v>
      </c>
      <c r="D12" s="164" t="s">
        <v>14</v>
      </c>
      <c r="E12" s="165">
        <v>380</v>
      </c>
      <c r="F12" s="155">
        <f>IF(tbCategorias[[#This Row],[Tipo]]="Receita","",COUNTIF(INDEX(tbCategorias[Tipo],1):tbCategorias[[#This Row],[Tipo]],"&lt;&gt;Receita"))</f>
        <v>4</v>
      </c>
    </row>
    <row r="13" spans="2:13" x14ac:dyDescent="0.35">
      <c r="B13" s="164" t="s">
        <v>18</v>
      </c>
      <c r="C13" s="164" t="s">
        <v>13</v>
      </c>
      <c r="D13" s="164" t="s">
        <v>14</v>
      </c>
      <c r="E13" s="165">
        <v>350</v>
      </c>
      <c r="F13" s="155">
        <f>IF(tbCategorias[[#This Row],[Tipo]]="Receita","",COUNTIF(INDEX(tbCategorias[Tipo],1):tbCategorias[[#This Row],[Tipo]],"&lt;&gt;Receita"))</f>
        <v>5</v>
      </c>
    </row>
    <row r="14" spans="2:13" x14ac:dyDescent="0.35">
      <c r="B14" s="164" t="s">
        <v>19</v>
      </c>
      <c r="C14" s="164" t="s">
        <v>13</v>
      </c>
      <c r="D14" s="164" t="s">
        <v>14</v>
      </c>
      <c r="E14" s="165">
        <v>150</v>
      </c>
      <c r="F14" s="155">
        <f>IF(tbCategorias[[#This Row],[Tipo]]="Receita","",COUNTIF(INDEX(tbCategorias[Tipo],1):tbCategorias[[#This Row],[Tipo]],"&lt;&gt;Receita"))</f>
        <v>6</v>
      </c>
    </row>
    <row r="15" spans="2:13" x14ac:dyDescent="0.35">
      <c r="B15" s="164" t="s">
        <v>20</v>
      </c>
      <c r="C15" s="164" t="s">
        <v>13</v>
      </c>
      <c r="D15" s="164" t="s">
        <v>21</v>
      </c>
      <c r="E15" s="165">
        <v>350</v>
      </c>
      <c r="F15" s="155">
        <f>IF(tbCategorias[[#This Row],[Tipo]]="Receita","",COUNTIF(INDEX(tbCategorias[Tipo],1):tbCategorias[[#This Row],[Tipo]],"&lt;&gt;Receita"))</f>
        <v>7</v>
      </c>
    </row>
    <row r="16" spans="2:13" x14ac:dyDescent="0.35">
      <c r="B16" s="164" t="s">
        <v>22</v>
      </c>
      <c r="C16" s="164" t="s">
        <v>13</v>
      </c>
      <c r="D16" s="164" t="s">
        <v>21</v>
      </c>
      <c r="E16" s="165">
        <v>250</v>
      </c>
      <c r="F16" s="155">
        <f>IF(tbCategorias[[#This Row],[Tipo]]="Receita","",COUNTIF(INDEX(tbCategorias[Tipo],1):tbCategorias[[#This Row],[Tipo]],"&lt;&gt;Receita"))</f>
        <v>8</v>
      </c>
    </row>
    <row r="17" spans="2:6" x14ac:dyDescent="0.35">
      <c r="B17" s="164" t="s">
        <v>23</v>
      </c>
      <c r="C17" s="164" t="s">
        <v>13</v>
      </c>
      <c r="D17" s="164" t="s">
        <v>21</v>
      </c>
      <c r="E17" s="165">
        <v>90</v>
      </c>
      <c r="F17" s="155">
        <f>IF(tbCategorias[[#This Row],[Tipo]]="Receita","",COUNTIF(INDEX(tbCategorias[Tipo],1):tbCategorias[[#This Row],[Tipo]],"&lt;&gt;Receita"))</f>
        <v>9</v>
      </c>
    </row>
    <row r="18" spans="2:6" x14ac:dyDescent="0.35">
      <c r="B18" s="164" t="s">
        <v>24</v>
      </c>
      <c r="C18" s="164" t="s">
        <v>13</v>
      </c>
      <c r="D18" s="164" t="s">
        <v>21</v>
      </c>
      <c r="E18" s="165">
        <v>300</v>
      </c>
      <c r="F18" s="155">
        <f>IF(tbCategorias[[#This Row],[Tipo]]="Receita","",COUNTIF(INDEX(tbCategorias[Tipo],1):tbCategorias[[#This Row],[Tipo]],"&lt;&gt;Receita"))</f>
        <v>10</v>
      </c>
    </row>
    <row r="19" spans="2:6" x14ac:dyDescent="0.35">
      <c r="B19" s="164" t="s">
        <v>25</v>
      </c>
      <c r="C19" s="164" t="s">
        <v>13</v>
      </c>
      <c r="D19" s="164" t="s">
        <v>21</v>
      </c>
      <c r="E19" s="165">
        <v>100</v>
      </c>
      <c r="F19" s="155">
        <f>IF(tbCategorias[[#This Row],[Tipo]]="Receita","",COUNTIF(INDEX(tbCategorias[Tipo],1):tbCategorias[[#This Row],[Tipo]],"&lt;&gt;Receita"))</f>
        <v>11</v>
      </c>
    </row>
    <row r="20" spans="2:6" x14ac:dyDescent="0.35">
      <c r="B20" s="164" t="s">
        <v>26</v>
      </c>
      <c r="C20" s="164" t="s">
        <v>27</v>
      </c>
      <c r="D20" s="164" t="s">
        <v>27</v>
      </c>
      <c r="E20" s="165">
        <v>800</v>
      </c>
      <c r="F20" s="155">
        <f>IF(tbCategorias[[#This Row],[Tipo]]="Receita","",COUNTIF(INDEX(tbCategorias[Tipo],1):tbCategorias[[#This Row],[Tipo]],"&lt;&gt;Receita"))</f>
        <v>12</v>
      </c>
    </row>
    <row r="22" spans="2:6" x14ac:dyDescent="0.35">
      <c r="B22" s="13" t="s">
        <v>38</v>
      </c>
    </row>
    <row r="23" spans="2:6" x14ac:dyDescent="0.35">
      <c r="B23" s="13" t="s">
        <v>39</v>
      </c>
    </row>
    <row r="25" spans="2:6" x14ac:dyDescent="0.35">
      <c r="B25" s="2" t="s">
        <v>299</v>
      </c>
      <c r="E25" s="10">
        <f>SUMIFS(tbCategorias[Orçamento mensal],tbCategorias[Tipo],"Despesa")</f>
        <v>4540</v>
      </c>
    </row>
    <row r="26" spans="2:6" ht="15.6" thickBot="1" x14ac:dyDescent="0.4">
      <c r="B26" s="2" t="s">
        <v>300</v>
      </c>
      <c r="E26" s="10">
        <f>SUMIFS(tbCategorias[Orçamento mensal],tbCategorias[Tipo],"Investimento")</f>
        <v>800</v>
      </c>
    </row>
    <row r="27" spans="2:6" x14ac:dyDescent="0.35">
      <c r="B27" s="116" t="s">
        <v>301</v>
      </c>
      <c r="C27" s="116"/>
      <c r="D27" s="116"/>
      <c r="E27" s="150">
        <f>E25+E26</f>
        <v>5340</v>
      </c>
    </row>
  </sheetData>
  <dataValidations count="2">
    <dataValidation type="list" allowBlank="1" showInputMessage="1" showErrorMessage="1" sqref="C6:C20" xr:uid="{1DAB7CA7-0352-46D4-95D4-D38E00D7E6D3}">
      <formula1>lstTipos</formula1>
    </dataValidation>
    <dataValidation type="list" allowBlank="1" showInputMessage="1" showErrorMessage="1" sqref="D6:D20" xr:uid="{911F8309-3C52-4912-AD80-C476F22273F8}">
      <formula1>lstGrupos</formula1>
    </dataValidation>
  </dataValidations>
  <printOptions horizontalCentered="1"/>
  <pageMargins left="0.511811024" right="0.511811024" top="0.78740157499999996" bottom="0.78740157499999996" header="0.31496062000000002" footer="0.31496062000000002"/>
  <pageSetup paperSize="9" scale="78" fitToHeight="0" orientation="landscape" r:id="rId1"/>
  <headerFooter>
    <oddFooter>&amp;CPágina &amp;P de &amp;N&amp;L&amp;A&amp;R&amp;8Criado por Otávio · ottavvi.dev</oddFooter>
  </headerFooter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F289C-2B63-4273-B0D8-6097E4BB3D84}">
  <sheetPr>
    <tabColor rgb="FF23404A"/>
    <pageSetUpPr fitToPage="1"/>
  </sheetPr>
  <dimension ref="B1:M11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35"/>
  <cols>
    <col min="1" max="1" width="2.77734375" style="2" customWidth="1"/>
    <col min="2" max="2" width="26.77734375" style="2" customWidth="1"/>
    <col min="3" max="4" width="14.77734375" style="2" customWidth="1"/>
    <col min="5" max="6" width="12.77734375" style="2" customWidth="1"/>
    <col min="7" max="7" width="14.77734375" style="2" customWidth="1"/>
    <col min="8" max="9" width="16.77734375" style="2" customWidth="1"/>
    <col min="10" max="16384" width="8.88671875" style="2"/>
  </cols>
  <sheetData>
    <row r="1" spans="2:13" ht="34.049999999999997" customHeight="1" x14ac:dyDescent="0.35">
      <c r="B1" s="4" t="s">
        <v>87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2:13" ht="19.95" customHeight="1" x14ac:dyDescent="0.35">
      <c r="B2" s="5" t="s">
        <v>88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2:13" ht="19.95" customHeight="1" x14ac:dyDescent="0.35">
      <c r="B3" s="7" t="str">
        <f>HYPERLINK("#'Painel'!A1","Painel")</f>
        <v>Painel</v>
      </c>
      <c r="C3" s="7" t="str">
        <f>HYPERLINK("#'Celular'!A1","Celular")</f>
        <v>Celular</v>
      </c>
      <c r="D3" s="7" t="str">
        <f>HYPERLINK("#'Lançamentos'!A1","Lançamentos")</f>
        <v>Lançamentos</v>
      </c>
      <c r="E3" s="7" t="str">
        <f>HYPERLINK("#'Contas fixas'!A1","Contas")</f>
        <v>Contas</v>
      </c>
      <c r="F3" s="7" t="str">
        <f>HYPERLINK("#'Cartão'!A1","Cartão")</f>
        <v>Cartão</v>
      </c>
      <c r="G3" s="7" t="str">
        <f>HYPERLINK("#'Dívidas'!A1","Dívidas")</f>
        <v>Dívidas</v>
      </c>
      <c r="H3" s="7" t="str">
        <f>HYPERLINK("#'Categorias'!A1","Categorias")</f>
        <v>Categorias</v>
      </c>
      <c r="I3" s="8" t="s">
        <v>89</v>
      </c>
      <c r="J3" s="7" t="str">
        <f>HYPERLINK("#'Patrimônio'!A1","Patrimônio")</f>
        <v>Patrimônio</v>
      </c>
      <c r="K3" s="7" t="str">
        <f>HYPERLINK("#'Simulador'!A1","Simulador")</f>
        <v>Simulador</v>
      </c>
      <c r="L3" s="7" t="str">
        <f>HYPERLINK("#'Resumo'!A1","Resumo")</f>
        <v>Resumo</v>
      </c>
      <c r="M3" s="7" t="str">
        <f>HYPERLINK("#'Como usar'!A1","Ajuda")</f>
        <v>Ajuda</v>
      </c>
    </row>
    <row r="5" spans="2:13" ht="15.6" thickBot="1" x14ac:dyDescent="0.4">
      <c r="B5" s="16" t="s">
        <v>90</v>
      </c>
      <c r="C5" s="16" t="s">
        <v>91</v>
      </c>
      <c r="D5" s="16" t="s">
        <v>92</v>
      </c>
      <c r="E5" s="16" t="s">
        <v>93</v>
      </c>
      <c r="F5" s="16" t="s">
        <v>98</v>
      </c>
      <c r="G5" s="16" t="s">
        <v>99</v>
      </c>
      <c r="H5" s="16" t="s">
        <v>100</v>
      </c>
      <c r="I5" s="16" t="s">
        <v>101</v>
      </c>
    </row>
    <row r="6" spans="2:13" x14ac:dyDescent="0.35">
      <c r="B6" s="158" t="s">
        <v>94</v>
      </c>
      <c r="C6" s="159">
        <v>18000</v>
      </c>
      <c r="D6" s="159">
        <v>7200</v>
      </c>
      <c r="E6" s="172">
        <v>46568</v>
      </c>
      <c r="F6" s="182">
        <f>IF(N(tbMetas[[#This Row],[Valor alvo]])=0,"",tbMetas[[#This Row],[Já guardado]]/tbMetas[[#This Row],[Valor alvo]])</f>
        <v>0.4</v>
      </c>
      <c r="G6" s="162">
        <f>MAX(0,tbMetas[[#This Row],[Valor alvo]]-tbMetas[[#This Row],[Já guardado]])</f>
        <v>10800</v>
      </c>
      <c r="H6" s="186">
        <f ca="1">IF(tbMetas[[#This Row],[Prazo]]="","",MAX(1,(YEAR(tbMetas[[#This Row],[Prazo]])-YEAR(TODAY()))*12+MONTH(tbMetas[[#This Row],[Prazo]])-MONTH(TODAY())))</f>
        <v>8</v>
      </c>
      <c r="I6" s="162">
        <f ca="1">IF(tbMetas[[#This Row],[Meses restantes]]="","",tbMetas[[#This Row],[Falta]]/tbMetas[[#This Row],[Meses restantes]])</f>
        <v>1350</v>
      </c>
    </row>
    <row r="7" spans="2:13" x14ac:dyDescent="0.35">
      <c r="B7" s="164" t="s">
        <v>95</v>
      </c>
      <c r="C7" s="165">
        <v>5000</v>
      </c>
      <c r="D7" s="165">
        <v>1800</v>
      </c>
      <c r="E7" s="176">
        <v>46418</v>
      </c>
      <c r="F7" s="185">
        <f>IF(N(tbMetas[[#This Row],[Valor alvo]])=0,"",tbMetas[[#This Row],[Já guardado]]/tbMetas[[#This Row],[Valor alvo]])</f>
        <v>0.36</v>
      </c>
      <c r="G7" s="168">
        <f>MAX(0,tbMetas[[#This Row],[Valor alvo]]-tbMetas[[#This Row],[Já guardado]])</f>
        <v>3200</v>
      </c>
      <c r="H7" s="187">
        <f ca="1">IF(tbMetas[[#This Row],[Prazo]]="","",MAX(1,(YEAR(tbMetas[[#This Row],[Prazo]])-YEAR(TODAY()))*12+MONTH(tbMetas[[#This Row],[Prazo]])-MONTH(TODAY())))</f>
        <v>3</v>
      </c>
      <c r="I7" s="168">
        <f ca="1">IF(tbMetas[[#This Row],[Meses restantes]]="","",tbMetas[[#This Row],[Falta]]/tbMetas[[#This Row],[Meses restantes]])</f>
        <v>1066.6666666666667</v>
      </c>
    </row>
    <row r="8" spans="2:13" x14ac:dyDescent="0.35">
      <c r="B8" s="164" t="s">
        <v>96</v>
      </c>
      <c r="C8" s="165">
        <v>4500</v>
      </c>
      <c r="D8" s="165">
        <v>1200</v>
      </c>
      <c r="E8" s="176">
        <v>46387</v>
      </c>
      <c r="F8" s="185">
        <f>IF(N(tbMetas[[#This Row],[Valor alvo]])=0,"",tbMetas[[#This Row],[Já guardado]]/tbMetas[[#This Row],[Valor alvo]])</f>
        <v>0.26666666666666666</v>
      </c>
      <c r="G8" s="168">
        <f>MAX(0,tbMetas[[#This Row],[Valor alvo]]-tbMetas[[#This Row],[Já guardado]])</f>
        <v>3300</v>
      </c>
      <c r="H8" s="187">
        <f ca="1">IF(tbMetas[[#This Row],[Prazo]]="","",MAX(1,(YEAR(tbMetas[[#This Row],[Prazo]])-YEAR(TODAY()))*12+MONTH(tbMetas[[#This Row],[Prazo]])-MONTH(TODAY())))</f>
        <v>2</v>
      </c>
      <c r="I8" s="168">
        <f ca="1">IF(tbMetas[[#This Row],[Meses restantes]]="","",tbMetas[[#This Row],[Falta]]/tbMetas[[#This Row],[Meses restantes]])</f>
        <v>1650</v>
      </c>
    </row>
    <row r="9" spans="2:13" x14ac:dyDescent="0.35">
      <c r="B9" s="164" t="s">
        <v>97</v>
      </c>
      <c r="C9" s="165">
        <v>40000</v>
      </c>
      <c r="D9" s="165">
        <v>3000</v>
      </c>
      <c r="E9" s="176">
        <v>47483</v>
      </c>
      <c r="F9" s="185">
        <f>IF(N(tbMetas[[#This Row],[Valor alvo]])=0,"",tbMetas[[#This Row],[Já guardado]]/tbMetas[[#This Row],[Valor alvo]])</f>
        <v>7.4999999999999997E-2</v>
      </c>
      <c r="G9" s="168">
        <f>MAX(0,tbMetas[[#This Row],[Valor alvo]]-tbMetas[[#This Row],[Já guardado]])</f>
        <v>37000</v>
      </c>
      <c r="H9" s="187">
        <f ca="1">IF(tbMetas[[#This Row],[Prazo]]="","",MAX(1,(YEAR(tbMetas[[#This Row],[Prazo]])-YEAR(TODAY()))*12+MONTH(tbMetas[[#This Row],[Prazo]])-MONTH(TODAY())))</f>
        <v>38</v>
      </c>
      <c r="I9" s="168">
        <f ca="1">IF(tbMetas[[#This Row],[Meses restantes]]="","",tbMetas[[#This Row],[Falta]]/tbMetas[[#This Row],[Meses restantes]])</f>
        <v>973.68421052631584</v>
      </c>
    </row>
    <row r="11" spans="2:13" x14ac:dyDescent="0.35">
      <c r="B11" s="13" t="s">
        <v>102</v>
      </c>
    </row>
  </sheetData>
  <conditionalFormatting sqref="F6:F9">
    <cfRule type="dataBar" priority="1">
      <dataBar>
        <cfvo type="num" val="0"/>
        <cfvo type="num" val="1"/>
        <color rgb="FF22B39A"/>
      </dataBar>
      <extLst>
        <ext xmlns:x14="http://schemas.microsoft.com/office/spreadsheetml/2009/9/main" uri="{B025F937-C7B1-47D3-B67F-A62EFF666E3E}">
          <x14:id>{637117A9-A28C-431B-BCF1-EE16421951DF}</x14:id>
        </ext>
      </extLst>
    </cfRule>
  </conditionalFormatting>
  <printOptions horizontalCentered="1"/>
  <pageMargins left="0.511811024" right="0.511811024" top="0.78740157499999996" bottom="0.78740157499999996" header="0.31496062000000002" footer="0.31496062000000002"/>
  <pageSetup paperSize="9" scale="80" fitToHeight="0" orientation="landscape" r:id="rId1"/>
  <headerFooter>
    <oddFooter>&amp;CPágina &amp;P de &amp;N&amp;L&amp;A&amp;R&amp;8Criado por Otávio · ottavvi.dev</oddFooter>
  </headerFooter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37117A9-A28C-431B-BCF1-EE16421951DF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F6:F9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F1BD8-2A26-4D28-AC66-7DD1485D5D35}">
  <sheetPr>
    <tabColor rgb="FF23404A"/>
    <pageSetUpPr fitToPage="1"/>
  </sheetPr>
  <dimension ref="B1:P20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35"/>
  <cols>
    <col min="1" max="1" width="2.77734375" style="2" customWidth="1"/>
    <col min="2" max="2" width="34.77734375" style="2" customWidth="1"/>
    <col min="3" max="3" width="22.77734375" style="2" customWidth="1"/>
    <col min="4" max="4" width="17.77734375" style="2" customWidth="1"/>
    <col min="5" max="5" width="21.77734375" style="2" customWidth="1"/>
    <col min="6" max="6" width="16.77734375" style="2" customWidth="1"/>
    <col min="7" max="7" width="15.77734375" style="2" customWidth="1"/>
    <col min="8" max="8" width="13.77734375" style="2" customWidth="1"/>
    <col min="9" max="9" width="12.77734375" style="2" customWidth="1"/>
    <col min="10" max="10" width="11.77734375" style="2" customWidth="1"/>
    <col min="11" max="11" width="10.77734375" style="2" customWidth="1"/>
    <col min="12" max="15" width="8.88671875" style="2"/>
    <col min="16" max="16" width="22.77734375" style="2" customWidth="1"/>
    <col min="17" max="16384" width="8.88671875" style="2"/>
  </cols>
  <sheetData>
    <row r="1" spans="2:16" ht="34.049999999999997" customHeight="1" x14ac:dyDescent="0.35">
      <c r="B1" s="4" t="s">
        <v>176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2:16" ht="19.95" customHeight="1" x14ac:dyDescent="0.35">
      <c r="B2" s="5" t="s">
        <v>177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2:16" ht="19.95" customHeight="1" x14ac:dyDescent="0.35">
      <c r="B3" s="7" t="str">
        <f>HYPERLINK("#'Painel'!A1","Painel")</f>
        <v>Painel</v>
      </c>
      <c r="C3" s="7" t="str">
        <f>HYPERLINK("#'Celular'!A1","Celular")</f>
        <v>Celular</v>
      </c>
      <c r="D3" s="7" t="str">
        <f>HYPERLINK("#'Lançamentos'!A1","Lançamentos")</f>
        <v>Lançamentos</v>
      </c>
      <c r="E3" s="7" t="str">
        <f>HYPERLINK("#'Contas fixas'!A1","Contas")</f>
        <v>Contas</v>
      </c>
      <c r="F3" s="7" t="str">
        <f>HYPERLINK("#'Cartão'!A1","Cartão")</f>
        <v>Cartão</v>
      </c>
      <c r="G3" s="7" t="str">
        <f>HYPERLINK("#'Dívidas'!A1","Dívidas")</f>
        <v>Dívidas</v>
      </c>
      <c r="H3" s="7" t="str">
        <f>HYPERLINK("#'Categorias'!A1","Categorias")</f>
        <v>Categorias</v>
      </c>
      <c r="I3" s="7" t="str">
        <f>HYPERLINK("#'Metas'!A1","Metas")</f>
        <v>Metas</v>
      </c>
      <c r="J3" s="8" t="s">
        <v>178</v>
      </c>
      <c r="K3" s="7" t="str">
        <f>HYPERLINK("#'Simulador'!A1","Simulador")</f>
        <v>Simulador</v>
      </c>
      <c r="L3" s="7" t="str">
        <f>HYPERLINK("#'Resumo'!A1","Resumo")</f>
        <v>Resumo</v>
      </c>
      <c r="M3" s="7" t="str">
        <f>HYPERLINK("#'Como usar'!A1","Ajuda")</f>
        <v>Ajuda</v>
      </c>
    </row>
    <row r="5" spans="2:16" ht="15.6" thickBot="1" x14ac:dyDescent="0.4">
      <c r="B5" s="16" t="s">
        <v>179</v>
      </c>
      <c r="C5" s="16" t="s">
        <v>4</v>
      </c>
      <c r="D5" s="16" t="s">
        <v>180</v>
      </c>
      <c r="E5" s="16" t="s">
        <v>181</v>
      </c>
      <c r="F5" s="16" t="s">
        <v>182</v>
      </c>
      <c r="G5" s="16" t="s">
        <v>195</v>
      </c>
      <c r="H5" s="16" t="s">
        <v>196</v>
      </c>
      <c r="I5" s="16" t="s">
        <v>197</v>
      </c>
      <c r="P5" s="12" t="s">
        <v>198</v>
      </c>
    </row>
    <row r="6" spans="2:16" x14ac:dyDescent="0.35">
      <c r="B6" s="158" t="s">
        <v>183</v>
      </c>
      <c r="C6" s="158" t="s">
        <v>183</v>
      </c>
      <c r="D6" s="158" t="s">
        <v>184</v>
      </c>
      <c r="E6" s="159">
        <v>2350</v>
      </c>
      <c r="F6" s="159">
        <v>2350</v>
      </c>
      <c r="G6" s="162">
        <f>tbPatrimonio[[#This Row],[Valor atual]]-tbPatrimonio[[#This Row],[Valor aplicado]]</f>
        <v>0</v>
      </c>
      <c r="H6" s="188">
        <f>IF(N(tbPatrimonio[[#This Row],[Valor aplicado]])=0,"",tbPatrimonio[[#This Row],[Rendimento]]/tbPatrimonio[[#This Row],[Valor aplicado]])</f>
        <v>0</v>
      </c>
      <c r="I6" s="182">
        <f>IF(SUM(tbPatrimonio[Valor atual])=0,"",tbPatrimonio[[#This Row],[Valor atual]]/SUM(tbPatrimonio[Valor atual]))</f>
        <v>0.13538504081714953</v>
      </c>
      <c r="P6" s="11" t="s">
        <v>183</v>
      </c>
    </row>
    <row r="7" spans="2:16" x14ac:dyDescent="0.35">
      <c r="B7" s="164" t="s">
        <v>185</v>
      </c>
      <c r="C7" s="164" t="s">
        <v>94</v>
      </c>
      <c r="D7" s="164" t="s">
        <v>186</v>
      </c>
      <c r="E7" s="165">
        <v>6900</v>
      </c>
      <c r="F7" s="165">
        <v>7200</v>
      </c>
      <c r="G7" s="168">
        <f>tbPatrimonio[[#This Row],[Valor atual]]-tbPatrimonio[[#This Row],[Valor aplicado]]</f>
        <v>300</v>
      </c>
      <c r="H7" s="189">
        <f>IF(N(tbPatrimonio[[#This Row],[Valor aplicado]])=0,"",tbPatrimonio[[#This Row],[Rendimento]]/tbPatrimonio[[#This Row],[Valor aplicado]])</f>
        <v>4.3478260869565216E-2</v>
      </c>
      <c r="I7" s="185">
        <f>IF(SUM(tbPatrimonio[Valor atual])=0,"",tbPatrimonio[[#This Row],[Valor atual]]/SUM(tbPatrimonio[Valor atual]))</f>
        <v>0.41479672080147939</v>
      </c>
      <c r="P7" s="11" t="s">
        <v>94</v>
      </c>
    </row>
    <row r="8" spans="2:16" x14ac:dyDescent="0.35">
      <c r="B8" s="164" t="s">
        <v>187</v>
      </c>
      <c r="C8" s="164" t="s">
        <v>188</v>
      </c>
      <c r="D8" s="164" t="s">
        <v>189</v>
      </c>
      <c r="E8" s="165">
        <v>3000</v>
      </c>
      <c r="F8" s="165">
        <v>3185.4</v>
      </c>
      <c r="G8" s="168">
        <f>tbPatrimonio[[#This Row],[Valor atual]]-tbPatrimonio[[#This Row],[Valor aplicado]]</f>
        <v>185.40000000000009</v>
      </c>
      <c r="H8" s="189">
        <f>IF(N(tbPatrimonio[[#This Row],[Valor aplicado]])=0,"",tbPatrimonio[[#This Row],[Rendimento]]/tbPatrimonio[[#This Row],[Valor aplicado]])</f>
        <v>6.1800000000000029E-2</v>
      </c>
      <c r="I8" s="185">
        <f>IF(SUM(tbPatrimonio[Valor atual])=0,"",tbPatrimonio[[#This Row],[Valor atual]]/SUM(tbPatrimonio[Valor atual]))</f>
        <v>0.18351298256125451</v>
      </c>
      <c r="P8" s="11" t="s">
        <v>188</v>
      </c>
    </row>
    <row r="9" spans="2:16" x14ac:dyDescent="0.35">
      <c r="B9" s="164" t="s">
        <v>190</v>
      </c>
      <c r="C9" s="164" t="s">
        <v>191</v>
      </c>
      <c r="D9" s="164" t="s">
        <v>192</v>
      </c>
      <c r="E9" s="165">
        <v>1500</v>
      </c>
      <c r="F9" s="165">
        <v>1622.5</v>
      </c>
      <c r="G9" s="168">
        <f>tbPatrimonio[[#This Row],[Valor atual]]-tbPatrimonio[[#This Row],[Valor aplicado]]</f>
        <v>122.5</v>
      </c>
      <c r="H9" s="189">
        <f>IF(N(tbPatrimonio[[#This Row],[Valor aplicado]])=0,"",tbPatrimonio[[#This Row],[Rendimento]]/tbPatrimonio[[#This Row],[Valor aplicado]])</f>
        <v>8.1666666666666665E-2</v>
      </c>
      <c r="I9" s="185">
        <f>IF(SUM(tbPatrimonio[Valor atual])=0,"",tbPatrimonio[[#This Row],[Valor atual]]/SUM(tbPatrimonio[Valor atual]))</f>
        <v>9.3473288819500053E-2</v>
      </c>
      <c r="P9" s="11" t="s">
        <v>191</v>
      </c>
    </row>
    <row r="10" spans="2:16" x14ac:dyDescent="0.35">
      <c r="B10" s="164" t="s">
        <v>193</v>
      </c>
      <c r="C10" s="164" t="s">
        <v>188</v>
      </c>
      <c r="D10" s="164" t="s">
        <v>184</v>
      </c>
      <c r="E10" s="165">
        <v>1700</v>
      </c>
      <c r="F10" s="165">
        <v>1800</v>
      </c>
      <c r="G10" s="168">
        <f>tbPatrimonio[[#This Row],[Valor atual]]-tbPatrimonio[[#This Row],[Valor aplicado]]</f>
        <v>100</v>
      </c>
      <c r="H10" s="189">
        <f>IF(N(tbPatrimonio[[#This Row],[Valor aplicado]])=0,"",tbPatrimonio[[#This Row],[Rendimento]]/tbPatrimonio[[#This Row],[Valor aplicado]])</f>
        <v>5.8823529411764705E-2</v>
      </c>
      <c r="I10" s="185">
        <f>IF(SUM(tbPatrimonio[Valor atual])=0,"",tbPatrimonio[[#This Row],[Valor atual]]/SUM(tbPatrimonio[Valor atual]))</f>
        <v>0.10369918020036985</v>
      </c>
      <c r="P10" s="11" t="s">
        <v>199</v>
      </c>
    </row>
    <row r="11" spans="2:16" x14ac:dyDescent="0.35">
      <c r="B11" s="164" t="s">
        <v>194</v>
      </c>
      <c r="C11" s="164" t="s">
        <v>188</v>
      </c>
      <c r="D11" s="164" t="s">
        <v>184</v>
      </c>
      <c r="E11" s="165">
        <v>1150</v>
      </c>
      <c r="F11" s="165">
        <v>1200</v>
      </c>
      <c r="G11" s="168">
        <f>tbPatrimonio[[#This Row],[Valor atual]]-tbPatrimonio[[#This Row],[Valor aplicado]]</f>
        <v>50</v>
      </c>
      <c r="H11" s="189">
        <f>IF(N(tbPatrimonio[[#This Row],[Valor aplicado]])=0,"",tbPatrimonio[[#This Row],[Rendimento]]/tbPatrimonio[[#This Row],[Valor aplicado]])</f>
        <v>4.3478260869565216E-2</v>
      </c>
      <c r="I11" s="185">
        <f>IF(SUM(tbPatrimonio[Valor atual])=0,"",tbPatrimonio[[#This Row],[Valor atual]]/SUM(tbPatrimonio[Valor atual]))</f>
        <v>6.9132786800246565E-2</v>
      </c>
    </row>
    <row r="14" spans="2:16" ht="15.6" thickBot="1" x14ac:dyDescent="0.4">
      <c r="B14" s="16" t="s">
        <v>105</v>
      </c>
      <c r="C14" s="16"/>
      <c r="E14" s="16" t="s">
        <v>202</v>
      </c>
      <c r="F14" s="86" t="s">
        <v>182</v>
      </c>
      <c r="G14" s="86" t="s">
        <v>203</v>
      </c>
    </row>
    <row r="15" spans="2:16" ht="19.8" x14ac:dyDescent="0.45">
      <c r="B15" s="71" t="s">
        <v>200</v>
      </c>
      <c r="C15" s="78">
        <f>SUM(tbPatrimonio[Valor atual])</f>
        <v>17357.900000000001</v>
      </c>
      <c r="E15" s="71" t="str">
        <f t="shared" ref="E15:E19" si="0">P6</f>
        <v>Conta corrente</v>
      </c>
      <c r="F15" s="80">
        <f>SUMIFS(tbPatrimonio[Valor atual],tbPatrimonio[Tipo],E15)</f>
        <v>2350</v>
      </c>
      <c r="G15" s="81">
        <f t="shared" ref="G15:G19" si="1">IF($C$15=0,"",F15/$C$15)</f>
        <v>0.13538504081714953</v>
      </c>
    </row>
    <row r="16" spans="2:16" x14ac:dyDescent="0.35">
      <c r="B16" s="73" t="s">
        <v>201</v>
      </c>
      <c r="C16" s="74">
        <f>SUM(tbPatrimonio[Valor aplicado])</f>
        <v>16600</v>
      </c>
      <c r="E16" s="73" t="str">
        <f t="shared" si="0"/>
        <v>Reserva de emergência</v>
      </c>
      <c r="F16" s="82">
        <f>SUMIFS(tbPatrimonio[Valor atual],tbPatrimonio[Tipo],E16)</f>
        <v>7200</v>
      </c>
      <c r="G16" s="83">
        <f t="shared" si="1"/>
        <v>0.41479672080147939</v>
      </c>
    </row>
    <row r="17" spans="2:7" x14ac:dyDescent="0.35">
      <c r="B17" s="73" t="s">
        <v>195</v>
      </c>
      <c r="C17" s="74">
        <f>C15-C16</f>
        <v>757.90000000000146</v>
      </c>
      <c r="E17" s="73" t="str">
        <f t="shared" si="0"/>
        <v>Renda fixa</v>
      </c>
      <c r="F17" s="82">
        <f>SUMIFS(tbPatrimonio[Valor atual],tbPatrimonio[Tipo],E17)</f>
        <v>6185.4</v>
      </c>
      <c r="G17" s="83">
        <f t="shared" si="1"/>
        <v>0.35634494956187091</v>
      </c>
    </row>
    <row r="18" spans="2:7" x14ac:dyDescent="0.35">
      <c r="B18" s="76" t="s">
        <v>196</v>
      </c>
      <c r="C18" s="79">
        <f>IF(C16=0,"",C17/C16)</f>
        <v>4.5656626506024187E-2</v>
      </c>
      <c r="E18" s="73" t="str">
        <f t="shared" si="0"/>
        <v>Renda variável</v>
      </c>
      <c r="F18" s="82">
        <f>SUMIFS(tbPatrimonio[Valor atual],tbPatrimonio[Tipo],E18)</f>
        <v>1622.5</v>
      </c>
      <c r="G18" s="83">
        <f t="shared" si="1"/>
        <v>9.3473288819500053E-2</v>
      </c>
    </row>
    <row r="19" spans="2:7" ht="15.6" thickBot="1" x14ac:dyDescent="0.4">
      <c r="B19" s="2" t="s">
        <v>292</v>
      </c>
      <c r="C19" s="146">
        <f>SUM(tbDividas[Saldo devedor])</f>
        <v>12045.200542367636</v>
      </c>
      <c r="E19" s="76" t="str">
        <f t="shared" si="0"/>
        <v>Bens</v>
      </c>
      <c r="F19" s="84">
        <f>SUMIFS(tbPatrimonio[Valor atual],tbPatrimonio[Tipo],E19)</f>
        <v>0</v>
      </c>
      <c r="G19" s="85">
        <f t="shared" si="1"/>
        <v>0</v>
      </c>
    </row>
    <row r="20" spans="2:7" ht="19.8" x14ac:dyDescent="0.45">
      <c r="B20" s="116" t="s">
        <v>293</v>
      </c>
      <c r="C20" s="147">
        <f>C15-C19</f>
        <v>5312.699457632365</v>
      </c>
    </row>
  </sheetData>
  <conditionalFormatting sqref="C20">
    <cfRule type="cellIs" dxfId="2" priority="3" stopIfTrue="1" operator="lessThan">
      <formula>0</formula>
    </cfRule>
  </conditionalFormatting>
  <conditionalFormatting sqref="G6:G11">
    <cfRule type="cellIs" dxfId="1" priority="1" stopIfTrue="1" operator="lessThan">
      <formula>0</formula>
    </cfRule>
  </conditionalFormatting>
  <conditionalFormatting sqref="I6:I11">
    <cfRule type="dataBar" priority="2">
      <dataBar>
        <cfvo type="num" val="0"/>
        <cfvo type="num" val="1"/>
        <color rgb="FF22B39A"/>
      </dataBar>
      <extLst>
        <ext xmlns:x14="http://schemas.microsoft.com/office/spreadsheetml/2009/9/main" uri="{B025F937-C7B1-47D3-B67F-A62EFF666E3E}">
          <x14:id>{F25C9213-A55F-44C5-900D-2369C674F6CD}</x14:id>
        </ext>
      </extLst>
    </cfRule>
  </conditionalFormatting>
  <dataValidations count="1">
    <dataValidation type="list" allowBlank="1" showInputMessage="1" showErrorMessage="1" sqref="C6:C11" xr:uid="{E7C92E60-7654-45DB-A549-1B484900A9A8}">
      <formula1>lstTiposPatrimonio</formula1>
    </dataValidation>
  </dataValidations>
  <printOptions horizontalCentered="1"/>
  <pageMargins left="0.511811024" right="0.511811024" top="0.78740157499999996" bottom="0.78740157499999996" header="0.31496062000000002" footer="0.31496062000000002"/>
  <pageSetup paperSize="9" scale="56" orientation="landscape" r:id="rId1"/>
  <headerFooter>
    <oddFooter>&amp;CPágina &amp;P de &amp;N&amp;L&amp;A&amp;R&amp;8Criado por Otávio · ottavvi.dev</oddFooter>
  </headerFooter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25C9213-A55F-44C5-900D-2369C674F6CD}">
            <x14:dataBar minLength="0" maxLength="100" gradient="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I6:I11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76D95-5D42-45F0-AE86-E3F8CDE42021}">
  <sheetPr>
    <tabColor rgb="FFF2B544"/>
    <pageSetUpPr fitToPage="1"/>
  </sheetPr>
  <dimension ref="B1:R30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35"/>
  <cols>
    <col min="1" max="1" width="2.77734375" style="2" customWidth="1"/>
    <col min="2" max="2" width="30.77734375" style="2" customWidth="1"/>
    <col min="3" max="3" width="16.77734375" style="2" customWidth="1"/>
    <col min="4" max="4" width="12.77734375" style="2" customWidth="1"/>
    <col min="5" max="5" width="30.77734375" style="2" customWidth="1"/>
    <col min="6" max="6" width="16.77734375" style="2" customWidth="1"/>
    <col min="7" max="7" width="10.77734375" style="2" customWidth="1"/>
    <col min="8" max="15" width="8.88671875" style="2"/>
    <col min="16" max="16" width="8.77734375" style="2" customWidth="1"/>
    <col min="17" max="18" width="12.77734375" style="2" customWidth="1"/>
    <col min="19" max="16384" width="8.88671875" style="2"/>
  </cols>
  <sheetData>
    <row r="1" spans="2:18" ht="34.049999999999997" customHeight="1" x14ac:dyDescent="0.35">
      <c r="B1" s="4" t="s">
        <v>269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2:18" ht="19.95" customHeight="1" x14ac:dyDescent="0.35">
      <c r="B2" s="5" t="s">
        <v>270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2:18" ht="19.95" customHeight="1" x14ac:dyDescent="0.35">
      <c r="B3" s="7" t="str">
        <f>HYPERLINK("#'Painel'!A1","Painel")</f>
        <v>Painel</v>
      </c>
      <c r="C3" s="7" t="str">
        <f>HYPERLINK("#'Celular'!A1","Celular")</f>
        <v>Celular</v>
      </c>
      <c r="D3" s="7" t="str">
        <f>HYPERLINK("#'Lançamentos'!A1","Lançamentos")</f>
        <v>Lançamentos</v>
      </c>
      <c r="E3" s="7" t="str">
        <f>HYPERLINK("#'Contas fixas'!A1","Contas")</f>
        <v>Contas</v>
      </c>
      <c r="F3" s="7" t="str">
        <f>HYPERLINK("#'Cartão'!A1","Cartão")</f>
        <v>Cartão</v>
      </c>
      <c r="G3" s="7" t="str">
        <f>HYPERLINK("#'Dívidas'!A1","Dívidas")</f>
        <v>Dívidas</v>
      </c>
      <c r="H3" s="7" t="str">
        <f>HYPERLINK("#'Categorias'!A1","Categorias")</f>
        <v>Categorias</v>
      </c>
      <c r="I3" s="7" t="str">
        <f>HYPERLINK("#'Metas'!A1","Metas")</f>
        <v>Metas</v>
      </c>
      <c r="J3" s="7" t="str">
        <f>HYPERLINK("#'Patrimônio'!A1","Patrimônio")</f>
        <v>Patrimônio</v>
      </c>
      <c r="K3" s="8" t="s">
        <v>271</v>
      </c>
      <c r="L3" s="7" t="str">
        <f>HYPERLINK("#'Resumo'!A1","Resumo")</f>
        <v>Resumo</v>
      </c>
      <c r="M3" s="7" t="str">
        <f>HYPERLINK("#'Como usar'!A1","Ajuda")</f>
        <v>Ajuda</v>
      </c>
      <c r="N3" s="6"/>
    </row>
    <row r="5" spans="2:18" ht="19.8" thickBot="1" x14ac:dyDescent="0.5">
      <c r="B5" s="31" t="s">
        <v>272</v>
      </c>
      <c r="E5" s="31" t="s">
        <v>280</v>
      </c>
      <c r="P5" s="127" t="s">
        <v>83</v>
      </c>
      <c r="Q5" s="127" t="s">
        <v>285</v>
      </c>
      <c r="R5" s="127" t="s">
        <v>286</v>
      </c>
    </row>
    <row r="6" spans="2:18" x14ac:dyDescent="0.35">
      <c r="B6" s="128" t="s">
        <v>273</v>
      </c>
      <c r="C6" s="250">
        <v>20000</v>
      </c>
      <c r="E6" s="128" t="s">
        <v>273</v>
      </c>
      <c r="F6" s="250">
        <v>50000</v>
      </c>
      <c r="P6" s="135">
        <f>IF(ISNUMBER($F$11),MAX($F$11,1)*0/24,0*5)</f>
        <v>0</v>
      </c>
      <c r="Q6" s="136">
        <f t="shared" ref="Q6:Q30" si="0">ROUND(FV($F$10,P6,-$F$8,-$F$7),2)</f>
        <v>7200</v>
      </c>
      <c r="R6" s="137">
        <f t="shared" ref="R6:R30" si="1">$F$6</f>
        <v>50000</v>
      </c>
    </row>
    <row r="7" spans="2:18" x14ac:dyDescent="0.35">
      <c r="B7" s="76" t="s">
        <v>274</v>
      </c>
      <c r="C7" s="251">
        <v>5000</v>
      </c>
      <c r="E7" s="76" t="s">
        <v>274</v>
      </c>
      <c r="F7" s="251">
        <v>7200</v>
      </c>
      <c r="P7" s="135">
        <f>IF(ISNUMBER($F$11),MAX($F$11,1)*1/24,1*5)</f>
        <v>0.79166666666666663</v>
      </c>
      <c r="Q7" s="136">
        <f t="shared" si="0"/>
        <v>8922.36</v>
      </c>
      <c r="R7" s="137">
        <f t="shared" si="1"/>
        <v>50000</v>
      </c>
    </row>
    <row r="8" spans="2:18" x14ac:dyDescent="0.35">
      <c r="B8" s="76" t="s">
        <v>275</v>
      </c>
      <c r="C8" s="252">
        <v>24</v>
      </c>
      <c r="E8" s="76" t="s">
        <v>281</v>
      </c>
      <c r="F8" s="251">
        <f>ROUND(MAX(0,(Painel!$B$75-Painel!$E$75)/MONTH(Painel!$M$3)),0)</f>
        <v>2120</v>
      </c>
      <c r="P8" s="135">
        <f>IF(ISNUMBER($F$11),MAX($F$11,1)*2/24,2*5)</f>
        <v>1.5833333333333333</v>
      </c>
      <c r="Q8" s="136">
        <f t="shared" si="0"/>
        <v>10655.58</v>
      </c>
      <c r="R8" s="137">
        <f t="shared" si="1"/>
        <v>50000</v>
      </c>
    </row>
    <row r="9" spans="2:18" x14ac:dyDescent="0.35">
      <c r="B9" s="76" t="s">
        <v>276</v>
      </c>
      <c r="C9" s="253">
        <v>0.1</v>
      </c>
      <c r="E9" s="76" t="s">
        <v>276</v>
      </c>
      <c r="F9" s="253">
        <v>0.1</v>
      </c>
      <c r="P9" s="135">
        <f>IF(ISNUMBER($F$11),MAX($F$11,1)*3/24,3*5)</f>
        <v>2.375</v>
      </c>
      <c r="Q9" s="136">
        <f t="shared" si="0"/>
        <v>12399.74</v>
      </c>
      <c r="R9" s="137">
        <f t="shared" si="1"/>
        <v>50000</v>
      </c>
    </row>
    <row r="10" spans="2:18" x14ac:dyDescent="0.35">
      <c r="B10" s="76" t="s">
        <v>277</v>
      </c>
      <c r="C10" s="129">
        <f>(1+C9)^(1/12)-1</f>
        <v>7.9741404289037643E-3</v>
      </c>
      <c r="E10" s="76" t="s">
        <v>277</v>
      </c>
      <c r="F10" s="129">
        <f>(1+F9)^(1/12)-1</f>
        <v>7.9741404289037643E-3</v>
      </c>
      <c r="P10" s="135">
        <f>IF(ISNUMBER($F$11),MAX($F$11,1)*4/24,4*5)</f>
        <v>3.1666666666666665</v>
      </c>
      <c r="Q10" s="136">
        <f t="shared" si="0"/>
        <v>14154.89</v>
      </c>
      <c r="R10" s="137">
        <f t="shared" si="1"/>
        <v>50000</v>
      </c>
    </row>
    <row r="11" spans="2:18" ht="20.399999999999999" x14ac:dyDescent="0.45">
      <c r="B11" s="76" t="s">
        <v>101</v>
      </c>
      <c r="C11" s="131">
        <f>IF(C8&lt;=0,"",IF(C10=0,MAX(0,(C6-C7)/C8),MAX(0,-PMT(C10,C8,-C7,C6))))</f>
        <v>529.71075706289116</v>
      </c>
      <c r="E11" s="76" t="s">
        <v>282</v>
      </c>
      <c r="F11" s="134">
        <f>IF(F6&lt;=F7,0,IF(F8&lt;=0,"não chega",IFERROR(ROUNDUP(IF(F10=0,(F6-F7)/F8,NPER(F10,-F8,-F7,F6)),0),"não chega")))</f>
        <v>19</v>
      </c>
      <c r="P11" s="135">
        <f>IF(ISNUMBER($F$11),MAX($F$11,1)*5/24,5*5)</f>
        <v>3.9583333333333335</v>
      </c>
      <c r="Q11" s="136">
        <f t="shared" si="0"/>
        <v>15921.12</v>
      </c>
      <c r="R11" s="137">
        <f t="shared" si="1"/>
        <v>50000</v>
      </c>
    </row>
    <row r="12" spans="2:18" x14ac:dyDescent="0.35">
      <c r="B12" s="76" t="s">
        <v>278</v>
      </c>
      <c r="C12" s="130">
        <f>IF(C11="","",C11*C8)</f>
        <v>12713.058169509388</v>
      </c>
      <c r="E12" s="76" t="s">
        <v>283</v>
      </c>
      <c r="F12" s="132">
        <f>IF(ISNUMBER(F11),F11/12,"")</f>
        <v>1.5833333333333333</v>
      </c>
      <c r="P12" s="135">
        <f>IF(ISNUMBER($F$11),MAX($F$11,1)*6/24,6*5)</f>
        <v>4.75</v>
      </c>
      <c r="Q12" s="136">
        <f t="shared" si="0"/>
        <v>17698.490000000002</v>
      </c>
      <c r="R12" s="137">
        <f t="shared" si="1"/>
        <v>50000</v>
      </c>
    </row>
    <row r="13" spans="2:18" x14ac:dyDescent="0.35">
      <c r="B13" s="73" t="s">
        <v>279</v>
      </c>
      <c r="C13" s="74">
        <f>IF(C11="","",MAX(0,C6-C7-C12))</f>
        <v>2286.9418304906121</v>
      </c>
      <c r="E13" s="73" t="s">
        <v>284</v>
      </c>
      <c r="F13" s="133">
        <f ca="1">IF(ISNUMBER(F11),EDATE(TODAY(),F11),"")</f>
        <v>46899</v>
      </c>
      <c r="P13" s="135">
        <f>IF(ISNUMBER($F$11),MAX($F$11,1)*7/24,7*5)</f>
        <v>5.541666666666667</v>
      </c>
      <c r="Q13" s="136">
        <f t="shared" si="0"/>
        <v>19487.07</v>
      </c>
      <c r="R13" s="137">
        <f t="shared" si="1"/>
        <v>50000</v>
      </c>
    </row>
    <row r="14" spans="2:18" x14ac:dyDescent="0.35">
      <c r="P14" s="135">
        <f>IF(ISNUMBER($F$11),MAX($F$11,1)*8/24,8*5)</f>
        <v>6.333333333333333</v>
      </c>
      <c r="Q14" s="136">
        <f t="shared" si="0"/>
        <v>21286.93</v>
      </c>
      <c r="R14" s="137">
        <f t="shared" si="1"/>
        <v>50000</v>
      </c>
    </row>
    <row r="15" spans="2:18" x14ac:dyDescent="0.35">
      <c r="P15" s="135">
        <f>IF(ISNUMBER($F$11),MAX($F$11,1)*9/24,9*5)</f>
        <v>7.125</v>
      </c>
      <c r="Q15" s="136">
        <f t="shared" si="0"/>
        <v>23098.14</v>
      </c>
      <c r="R15" s="137">
        <f t="shared" si="1"/>
        <v>50000</v>
      </c>
    </row>
    <row r="16" spans="2:18" ht="19.8" thickBot="1" x14ac:dyDescent="0.5">
      <c r="B16" s="31" t="s">
        <v>287</v>
      </c>
      <c r="P16" s="135">
        <f>IF(ISNUMBER($F$11),MAX($F$11,1)*10/24,10*5)</f>
        <v>7.916666666666667</v>
      </c>
      <c r="Q16" s="136">
        <f t="shared" si="0"/>
        <v>24920.78</v>
      </c>
      <c r="R16" s="137">
        <f t="shared" si="1"/>
        <v>50000</v>
      </c>
    </row>
    <row r="17" spans="2:18" ht="15.6" thickBot="1" x14ac:dyDescent="0.4">
      <c r="B17" s="138" t="s">
        <v>90</v>
      </c>
      <c r="C17" s="139" t="s">
        <v>99</v>
      </c>
      <c r="D17" s="139" t="s">
        <v>288</v>
      </c>
      <c r="E17" s="139" t="s">
        <v>289</v>
      </c>
      <c r="F17" s="139" t="s">
        <v>290</v>
      </c>
      <c r="P17" s="135">
        <f>IF(ISNUMBER($F$11),MAX($F$11,1)*11/24,11*5)</f>
        <v>8.7083333333333339</v>
      </c>
      <c r="Q17" s="136">
        <f t="shared" si="0"/>
        <v>26754.92</v>
      </c>
      <c r="R17" s="137">
        <f t="shared" si="1"/>
        <v>50000</v>
      </c>
    </row>
    <row r="18" spans="2:18" x14ac:dyDescent="0.35">
      <c r="B18" s="71" t="str">
        <f>IFERROR(INDEX(tbMetas[Meta],ROWS(B$18:B18)),"")</f>
        <v>Reserva de emergência</v>
      </c>
      <c r="C18" s="80">
        <f>IF($B18="","",INDEX(tbMetas[Falta],ROWS(C$18:C18)))</f>
        <v>10800</v>
      </c>
      <c r="D18" s="140">
        <f ca="1">IF($B18="","",INDEX(tbMetas[Meses restantes],ROWS(D$18:D18)))</f>
        <v>8</v>
      </c>
      <c r="E18" s="80">
        <f ca="1">IF($B18="","",INDEX(tbMetas[Guardar por mês],ROWS(E$18:E18)))</f>
        <v>1350</v>
      </c>
      <c r="F18" s="141">
        <f ca="1">IF(OR($B18="",N(D18)=0),"",MAX(0,-PMT($C$10,D18,-INDEX(tbMetas[Já guardado],ROWS(F$18:F18)),INDEX(tbMetas[Valor alvo],ROWS(F$18:F18)))))</f>
        <v>1255.3572296089822</v>
      </c>
      <c r="P18" s="135">
        <f>IF(ISNUMBER($F$11),MAX($F$11,1)*12/24,12*5)</f>
        <v>9.5</v>
      </c>
      <c r="Q18" s="136">
        <f t="shared" si="0"/>
        <v>28600.62</v>
      </c>
      <c r="R18" s="137">
        <f t="shared" si="1"/>
        <v>50000</v>
      </c>
    </row>
    <row r="19" spans="2:18" x14ac:dyDescent="0.35">
      <c r="B19" s="73" t="str">
        <f>IFERROR(INDEX(tbMetas[Meta],ROWS(B$18:B19)),"")</f>
        <v>Viagem de férias</v>
      </c>
      <c r="C19" s="82">
        <f>IF($B19="","",INDEX(tbMetas[Falta],ROWS(C$18:C19)))</f>
        <v>3200</v>
      </c>
      <c r="D19" s="142">
        <f ca="1">IF($B19="","",INDEX(tbMetas[Meses restantes],ROWS(D$18:D19)))</f>
        <v>3</v>
      </c>
      <c r="E19" s="82">
        <f ca="1">IF($B19="","",INDEX(tbMetas[Guardar por mês],ROWS(E$18:E19)))</f>
        <v>1066.6666666666667</v>
      </c>
      <c r="F19" s="143">
        <f ca="1">IF(OR($B19="",N(D19)=0),"",MAX(0,-PMT($C$10,D19,-INDEX(tbMetas[Já guardado],ROWS(F$18:F19)),INDEX(tbMetas[Valor alvo],ROWS(F$18:F19)))))</f>
        <v>1043.8525016603967</v>
      </c>
      <c r="P19" s="135">
        <f>IF(ISNUMBER($F$11),MAX($F$11,1)*13/24,13*5)</f>
        <v>10.291666666666666</v>
      </c>
      <c r="Q19" s="136">
        <f t="shared" si="0"/>
        <v>30457.97</v>
      </c>
      <c r="R19" s="137">
        <f t="shared" si="1"/>
        <v>50000</v>
      </c>
    </row>
    <row r="20" spans="2:18" x14ac:dyDescent="0.35">
      <c r="B20" s="73" t="str">
        <f>IFERROR(INDEX(tbMetas[Meta],ROWS(B$18:B20)),"")</f>
        <v>Notebook novo</v>
      </c>
      <c r="C20" s="82">
        <f>IF($B20="","",INDEX(tbMetas[Falta],ROWS(C$18:C20)))</f>
        <v>3300</v>
      </c>
      <c r="D20" s="142">
        <f ca="1">IF($B20="","",INDEX(tbMetas[Meses restantes],ROWS(D$18:D20)))</f>
        <v>2</v>
      </c>
      <c r="E20" s="82">
        <f ca="1">IF($B20="","",INDEX(tbMetas[Guardar por mês],ROWS(E$18:E20)))</f>
        <v>1650</v>
      </c>
      <c r="F20" s="143">
        <f ca="1">IF(OR($B20="",N(D20)=0),"",MAX(0,-PMT($C$10,D20,-INDEX(tbMetas[Já guardado],ROWS(F$18:F20)),INDEX(tbMetas[Valor alvo],ROWS(F$18:F20)))))</f>
        <v>1633.8784910701877</v>
      </c>
      <c r="P20" s="135">
        <f>IF(ISNUMBER($F$11),MAX($F$11,1)*14/24,14*5)</f>
        <v>11.083333333333334</v>
      </c>
      <c r="Q20" s="136">
        <f t="shared" si="0"/>
        <v>32327.03</v>
      </c>
      <c r="R20" s="137">
        <f t="shared" si="1"/>
        <v>50000</v>
      </c>
    </row>
    <row r="21" spans="2:18" x14ac:dyDescent="0.35">
      <c r="B21" s="73" t="str">
        <f>IFERROR(INDEX(tbMetas[Meta],ROWS(B$18:B21)),"")</f>
        <v>Entrada do apartamento</v>
      </c>
      <c r="C21" s="82">
        <f>IF($B21="","",INDEX(tbMetas[Falta],ROWS(C$18:C21)))</f>
        <v>37000</v>
      </c>
      <c r="D21" s="142">
        <f ca="1">IF($B21="","",INDEX(tbMetas[Meses restantes],ROWS(D$18:D21)))</f>
        <v>38</v>
      </c>
      <c r="E21" s="82">
        <f ca="1">IF($B21="","",INDEX(tbMetas[Guardar por mês],ROWS(E$18:E21)))</f>
        <v>973.68421052631584</v>
      </c>
      <c r="F21" s="143">
        <f ca="1">IF(OR($B21="",N(D21)=0),"",MAX(0,-PMT($C$10,D21,-INDEX(tbMetas[Já guardado],ROWS(F$18:F21)),INDEX(tbMetas[Valor alvo],ROWS(F$18:F21)))))</f>
        <v>813.52667696629328</v>
      </c>
      <c r="P21" s="135">
        <f>IF(ISNUMBER($F$11),MAX($F$11,1)*15/24,15*5)</f>
        <v>11.875</v>
      </c>
      <c r="Q21" s="136">
        <f t="shared" si="0"/>
        <v>34207.879999999997</v>
      </c>
      <c r="R21" s="137">
        <f t="shared" si="1"/>
        <v>50000</v>
      </c>
    </row>
    <row r="22" spans="2:18" x14ac:dyDescent="0.35">
      <c r="B22" s="76" t="str">
        <f>IFERROR(INDEX(tbMetas[Meta],ROWS(B$18:B22)),"")</f>
        <v/>
      </c>
      <c r="C22" s="84" t="str">
        <f>IF($B22="","",INDEX(tbMetas[Falta],ROWS(C$18:C22)))</f>
        <v/>
      </c>
      <c r="D22" s="144" t="str">
        <f>IF($B22="","",INDEX(tbMetas[Meses restantes],ROWS(D$18:D22)))</f>
        <v/>
      </c>
      <c r="E22" s="84" t="str">
        <f>IF($B22="","",INDEX(tbMetas[Guardar por mês],ROWS(E$18:E22)))</f>
        <v/>
      </c>
      <c r="F22" s="145" t="str">
        <f>IF(OR($B22="",N(D22)=0),"",MAX(0,-PMT($C$10,D22,-INDEX(tbMetas[Já guardado],ROWS(F$18:F22)),INDEX(tbMetas[Valor alvo],ROWS(F$18:F22)))))</f>
        <v/>
      </c>
      <c r="P22" s="135">
        <f>IF(ISNUMBER($F$11),MAX($F$11,1)*16/24,16*5)</f>
        <v>12.666666666666666</v>
      </c>
      <c r="Q22" s="136">
        <f t="shared" si="0"/>
        <v>36100.589999999997</v>
      </c>
      <c r="R22" s="137">
        <f t="shared" si="1"/>
        <v>50000</v>
      </c>
    </row>
    <row r="23" spans="2:18" x14ac:dyDescent="0.35">
      <c r="B23" s="49" t="s">
        <v>291</v>
      </c>
      <c r="P23" s="135">
        <f>IF(ISNUMBER($F$11),MAX($F$11,1)*17/24,17*5)</f>
        <v>13.458333333333334</v>
      </c>
      <c r="Q23" s="136">
        <f t="shared" si="0"/>
        <v>38005.25</v>
      </c>
      <c r="R23" s="137">
        <f t="shared" si="1"/>
        <v>50000</v>
      </c>
    </row>
    <row r="24" spans="2:18" x14ac:dyDescent="0.35">
      <c r="P24" s="135">
        <f>IF(ISNUMBER($F$11),MAX($F$11,1)*18/24,18*5)</f>
        <v>14.25</v>
      </c>
      <c r="Q24" s="136">
        <f t="shared" si="0"/>
        <v>39921.910000000003</v>
      </c>
      <c r="R24" s="137">
        <f t="shared" si="1"/>
        <v>50000</v>
      </c>
    </row>
    <row r="25" spans="2:18" x14ac:dyDescent="0.35">
      <c r="P25" s="135">
        <f>IF(ISNUMBER($F$11),MAX($F$11,1)*19/24,19*5)</f>
        <v>15.041666666666666</v>
      </c>
      <c r="Q25" s="136">
        <f t="shared" si="0"/>
        <v>41850.67</v>
      </c>
      <c r="R25" s="137">
        <f t="shared" si="1"/>
        <v>50000</v>
      </c>
    </row>
    <row r="26" spans="2:18" x14ac:dyDescent="0.35">
      <c r="P26" s="135">
        <f>IF(ISNUMBER($F$11),MAX($F$11,1)*20/24,20*5)</f>
        <v>15.833333333333334</v>
      </c>
      <c r="Q26" s="136">
        <f t="shared" si="0"/>
        <v>43791.59</v>
      </c>
      <c r="R26" s="137">
        <f t="shared" si="1"/>
        <v>50000</v>
      </c>
    </row>
    <row r="27" spans="2:18" x14ac:dyDescent="0.35">
      <c r="P27" s="135">
        <f>IF(ISNUMBER($F$11),MAX($F$11,1)*21/24,21*5)</f>
        <v>16.625</v>
      </c>
      <c r="Q27" s="136">
        <f t="shared" si="0"/>
        <v>45744.76</v>
      </c>
      <c r="R27" s="137">
        <f t="shared" si="1"/>
        <v>50000</v>
      </c>
    </row>
    <row r="28" spans="2:18" x14ac:dyDescent="0.35">
      <c r="P28" s="135">
        <f>IF(ISNUMBER($F$11),MAX($F$11,1)*22/24,22*5)</f>
        <v>17.416666666666668</v>
      </c>
      <c r="Q28" s="136">
        <f t="shared" si="0"/>
        <v>47710.239999999998</v>
      </c>
      <c r="R28" s="137">
        <f t="shared" si="1"/>
        <v>50000</v>
      </c>
    </row>
    <row r="29" spans="2:18" x14ac:dyDescent="0.35">
      <c r="P29" s="135">
        <f>IF(ISNUMBER($F$11),MAX($F$11,1)*23/24,23*5)</f>
        <v>18.208333333333332</v>
      </c>
      <c r="Q29" s="136">
        <f t="shared" si="0"/>
        <v>49688.12</v>
      </c>
      <c r="R29" s="137">
        <f t="shared" si="1"/>
        <v>50000</v>
      </c>
    </row>
    <row r="30" spans="2:18" x14ac:dyDescent="0.35">
      <c r="P30" s="135">
        <f>IF(ISNUMBER($F$11),MAX($F$11,1)*24/24,24*5)</f>
        <v>19</v>
      </c>
      <c r="Q30" s="136">
        <f t="shared" si="0"/>
        <v>51678.48</v>
      </c>
      <c r="R30" s="137">
        <f t="shared" si="1"/>
        <v>50000</v>
      </c>
    </row>
  </sheetData>
  <printOptions horizontalCentered="1"/>
  <pageMargins left="0.511811024" right="0.511811024" top="0.78740157499999996" bottom="0.78740157499999996" header="0.31496062000000002" footer="0.31496062000000002"/>
  <pageSetup paperSize="9" scale="59" orientation="landscape" r:id="rId1"/>
  <headerFooter>
    <oddFooter>&amp;CPágina &amp;P de &amp;N&amp;L&amp;A&amp;R&amp;8Criado por Otávio · ottavvi.dev</oddFooter>
  </headerFooter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1A051-0505-44AB-88DD-960824947298}">
  <sheetPr>
    <tabColor rgb="FF23404A"/>
    <pageSetUpPr fitToPage="1"/>
  </sheetPr>
  <dimension ref="B1:M19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35"/>
  <cols>
    <col min="1" max="1" width="2.77734375" style="2" customWidth="1"/>
    <col min="2" max="2" width="14.77734375" style="2" customWidth="1"/>
    <col min="3" max="8" width="17.77734375" style="2" customWidth="1"/>
    <col min="9" max="16384" width="8.88671875" style="2"/>
  </cols>
  <sheetData>
    <row r="1" spans="2:13" ht="34.049999999999997" customHeight="1" x14ac:dyDescent="0.35">
      <c r="B1" s="4" t="s">
        <v>103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2:13" ht="19.95" customHeight="1" x14ac:dyDescent="0.35">
      <c r="B2" s="5" t="s">
        <v>104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2:13" ht="19.95" customHeight="1" x14ac:dyDescent="0.35">
      <c r="B3" s="7" t="str">
        <f>HYPERLINK("#'Painel'!A1","Painel")</f>
        <v>Painel</v>
      </c>
      <c r="C3" s="7" t="str">
        <f>HYPERLINK("#'Celular'!A1","Celular")</f>
        <v>Celular</v>
      </c>
      <c r="D3" s="7" t="str">
        <f>HYPERLINK("#'Lançamentos'!A1","Lançamentos")</f>
        <v>Lançamentos</v>
      </c>
      <c r="E3" s="7" t="str">
        <f>HYPERLINK("#'Contas fixas'!A1","Contas")</f>
        <v>Contas</v>
      </c>
      <c r="F3" s="7" t="str">
        <f>HYPERLINK("#'Cartão'!A1","Cartão")</f>
        <v>Cartão</v>
      </c>
      <c r="G3" s="7" t="str">
        <f>HYPERLINK("#'Dívidas'!A1","Dívidas")</f>
        <v>Dívidas</v>
      </c>
      <c r="H3" s="7" t="str">
        <f>HYPERLINK("#'Categorias'!A1","Categorias")</f>
        <v>Categorias</v>
      </c>
      <c r="I3" s="7" t="str">
        <f>HYPERLINK("#'Metas'!A1","Metas")</f>
        <v>Metas</v>
      </c>
      <c r="J3" s="7" t="str">
        <f>HYPERLINK("#'Patrimônio'!A1","Patrimônio")</f>
        <v>Patrimônio</v>
      </c>
      <c r="K3" s="7" t="str">
        <f>HYPERLINK("#'Simulador'!A1","Simulador")</f>
        <v>Simulador</v>
      </c>
      <c r="L3" s="8" t="s">
        <v>105</v>
      </c>
      <c r="M3" s="7" t="str">
        <f>HYPERLINK("#'Como usar'!A1","Ajuda")</f>
        <v>Ajuda</v>
      </c>
    </row>
    <row r="4" spans="2:13" x14ac:dyDescent="0.35">
      <c r="B4" s="12" t="s">
        <v>106</v>
      </c>
      <c r="C4" s="15">
        <v>46023</v>
      </c>
    </row>
    <row r="6" spans="2:13" ht="15.6" thickBot="1" x14ac:dyDescent="0.4">
      <c r="B6" s="16" t="s">
        <v>83</v>
      </c>
      <c r="C6" s="86" t="s">
        <v>107</v>
      </c>
      <c r="D6" s="86" t="s">
        <v>108</v>
      </c>
      <c r="E6" s="86" t="s">
        <v>109</v>
      </c>
      <c r="F6" s="86" t="s">
        <v>110</v>
      </c>
      <c r="G6" s="86" t="s">
        <v>111</v>
      </c>
      <c r="H6" s="86" t="s">
        <v>112</v>
      </c>
    </row>
    <row r="7" spans="2:13" x14ac:dyDescent="0.35">
      <c r="B7" s="19">
        <f>$C$4</f>
        <v>46023</v>
      </c>
      <c r="C7" s="20">
        <f>SUMIFS(tbLancamentos[Valor],tbLancamentos[Mês],$B7,tbLancamentos[Tipo],"Receita")</f>
        <v>5883.79</v>
      </c>
      <c r="D7" s="20">
        <f>SUMIFS(tbLancamentos[Valor],tbLancamentos[Mês],$B7,tbLancamentos[Tipo],"Despesa")</f>
        <v>3566.0099999999998</v>
      </c>
      <c r="E7" s="20">
        <f>SUMIFS(tbLancamentos[Valor],tbLancamentos[Mês],$B7,tbLancamentos[Tipo],"Investimento")</f>
        <v>600</v>
      </c>
      <c r="F7" s="20">
        <f t="shared" ref="F7:F18" si="0">C7-D7-E7</f>
        <v>1717.7800000000002</v>
      </c>
      <c r="G7" s="20">
        <f>SUM($F$7:F7)</f>
        <v>1717.7800000000002</v>
      </c>
      <c r="H7" s="21">
        <f t="shared" ref="H7:H18" si="1">IF(C7=0,"",(C7-D7)/C7)</f>
        <v>0.39392636378932633</v>
      </c>
    </row>
    <row r="8" spans="2:13" x14ac:dyDescent="0.35">
      <c r="B8" s="22">
        <f t="shared" ref="B8:B18" si="2">EDATE(B7,1)</f>
        <v>46054</v>
      </c>
      <c r="C8" s="23">
        <f>SUMIFS(tbLancamentos[Valor],tbLancamentos[Mês],$B8,tbLancamentos[Tipo],"Receita")</f>
        <v>6754.84</v>
      </c>
      <c r="D8" s="23">
        <f>SUMIFS(tbLancamentos[Valor],tbLancamentos[Mês],$B8,tbLancamentos[Tipo],"Despesa")</f>
        <v>3889.9100000000003</v>
      </c>
      <c r="E8" s="23">
        <f>SUMIFS(tbLancamentos[Valor],tbLancamentos[Mês],$B8,tbLancamentos[Tipo],"Investimento")</f>
        <v>600</v>
      </c>
      <c r="F8" s="23">
        <f t="shared" si="0"/>
        <v>2264.9299999999998</v>
      </c>
      <c r="G8" s="23">
        <f>SUM($F$7:F8)</f>
        <v>3982.71</v>
      </c>
      <c r="H8" s="24">
        <f t="shared" si="1"/>
        <v>0.42412995718625457</v>
      </c>
    </row>
    <row r="9" spans="2:13" x14ac:dyDescent="0.35">
      <c r="B9" s="22">
        <f t="shared" si="2"/>
        <v>46082</v>
      </c>
      <c r="C9" s="23">
        <f>SUMIFS(tbLancamentos[Valor],tbLancamentos[Mês],$B9,tbLancamentos[Tipo],"Receita")</f>
        <v>6668.83</v>
      </c>
      <c r="D9" s="23">
        <f>SUMIFS(tbLancamentos[Valor],tbLancamentos[Mês],$B9,tbLancamentos[Tipo],"Despesa")</f>
        <v>4109.4600000000009</v>
      </c>
      <c r="E9" s="23">
        <f>SUMIFS(tbLancamentos[Valor],tbLancamentos[Mês],$B9,tbLancamentos[Tipo],"Investimento")</f>
        <v>600</v>
      </c>
      <c r="F9" s="23">
        <f t="shared" si="0"/>
        <v>1959.369999999999</v>
      </c>
      <c r="G9" s="23">
        <f>SUM($F$7:F9)</f>
        <v>5942.079999999999</v>
      </c>
      <c r="H9" s="24">
        <f t="shared" si="1"/>
        <v>0.38378096307748122</v>
      </c>
    </row>
    <row r="10" spans="2:13" x14ac:dyDescent="0.35">
      <c r="B10" s="22">
        <f t="shared" si="2"/>
        <v>46113</v>
      </c>
      <c r="C10" s="23">
        <f>SUMIFS(tbLancamentos[Valor],tbLancamentos[Mês],$B10,tbLancamentos[Tipo],"Receita")</f>
        <v>5800</v>
      </c>
      <c r="D10" s="23">
        <f>SUMIFS(tbLancamentos[Valor],tbLancamentos[Mês],$B10,tbLancamentos[Tipo],"Despesa")</f>
        <v>3936.9399999999991</v>
      </c>
      <c r="E10" s="23">
        <f>SUMIFS(tbLancamentos[Valor],tbLancamentos[Mês],$B10,tbLancamentos[Tipo],"Investimento")</f>
        <v>600</v>
      </c>
      <c r="F10" s="23">
        <f t="shared" si="0"/>
        <v>1263.0600000000009</v>
      </c>
      <c r="G10" s="23">
        <f>SUM($F$7:F10)</f>
        <v>7205.1399999999994</v>
      </c>
      <c r="H10" s="24">
        <f t="shared" si="1"/>
        <v>0.32121724137931051</v>
      </c>
    </row>
    <row r="11" spans="2:13" x14ac:dyDescent="0.35">
      <c r="B11" s="22">
        <f t="shared" si="2"/>
        <v>46143</v>
      </c>
      <c r="C11" s="23">
        <f>SUMIFS(tbLancamentos[Valor],tbLancamentos[Mês],$B11,tbLancamentos[Tipo],"Receita")</f>
        <v>5800</v>
      </c>
      <c r="D11" s="23">
        <f>SUMIFS(tbLancamentos[Valor],tbLancamentos[Mês],$B11,tbLancamentos[Tipo],"Despesa")</f>
        <v>3989.110000000001</v>
      </c>
      <c r="E11" s="23">
        <f>SUMIFS(tbLancamentos[Valor],tbLancamentos[Mês],$B11,tbLancamentos[Tipo],"Investimento")</f>
        <v>926.39</v>
      </c>
      <c r="F11" s="23">
        <f t="shared" si="0"/>
        <v>884.49999999999898</v>
      </c>
      <c r="G11" s="23">
        <f>SUM($F$7:F11)</f>
        <v>8089.6399999999985</v>
      </c>
      <c r="H11" s="24">
        <f t="shared" si="1"/>
        <v>0.31222241379310328</v>
      </c>
    </row>
    <row r="12" spans="2:13" x14ac:dyDescent="0.35">
      <c r="B12" s="22">
        <f t="shared" si="2"/>
        <v>46174</v>
      </c>
      <c r="C12" s="23">
        <f>SUMIFS(tbLancamentos[Valor],tbLancamentos[Mês],$B12,tbLancamentos[Tipo],"Receita")</f>
        <v>6909.83</v>
      </c>
      <c r="D12" s="23">
        <f>SUMIFS(tbLancamentos[Valor],tbLancamentos[Mês],$B12,tbLancamentos[Tipo],"Despesa")</f>
        <v>4300.0400000000009</v>
      </c>
      <c r="E12" s="23">
        <f>SUMIFS(tbLancamentos[Valor],tbLancamentos[Mês],$B12,tbLancamentos[Tipo],"Investimento")</f>
        <v>600</v>
      </c>
      <c r="F12" s="23">
        <f t="shared" si="0"/>
        <v>2009.7899999999991</v>
      </c>
      <c r="G12" s="23">
        <f>SUM($F$7:F12)</f>
        <v>10099.429999999997</v>
      </c>
      <c r="H12" s="24">
        <f t="shared" si="1"/>
        <v>0.37769236001464568</v>
      </c>
    </row>
    <row r="13" spans="2:13" x14ac:dyDescent="0.35">
      <c r="B13" s="22">
        <f t="shared" si="2"/>
        <v>46204</v>
      </c>
      <c r="C13" s="23">
        <f>SUMIFS(tbLancamentos[Valor],tbLancamentos[Mês],$B13,tbLancamentos[Tipo],"Receita")</f>
        <v>5800</v>
      </c>
      <c r="D13" s="23">
        <f>SUMIFS(tbLancamentos[Valor],tbLancamentos[Mês],$B13,tbLancamentos[Tipo],"Despesa")</f>
        <v>4258.87</v>
      </c>
      <c r="E13" s="23">
        <f>SUMIFS(tbLancamentos[Valor],tbLancamentos[Mês],$B13,tbLancamentos[Tipo],"Investimento")</f>
        <v>859.76</v>
      </c>
      <c r="F13" s="23">
        <f t="shared" si="0"/>
        <v>681.37000000000012</v>
      </c>
      <c r="G13" s="23">
        <f>SUM($F$7:F13)</f>
        <v>10780.799999999997</v>
      </c>
      <c r="H13" s="24">
        <f t="shared" si="1"/>
        <v>0.26571206896551725</v>
      </c>
    </row>
    <row r="14" spans="2:13" x14ac:dyDescent="0.35">
      <c r="B14" s="22">
        <f t="shared" si="2"/>
        <v>46235</v>
      </c>
      <c r="C14" s="23">
        <f>SUMIFS(tbLancamentos[Valor],tbLancamentos[Mês],$B14,tbLancamentos[Tipo],"Receita")</f>
        <v>5939.4</v>
      </c>
      <c r="D14" s="23">
        <f>SUMIFS(tbLancamentos[Valor],tbLancamentos[Mês],$B14,tbLancamentos[Tipo],"Despesa")</f>
        <v>4070.4300000000007</v>
      </c>
      <c r="E14" s="23">
        <f>SUMIFS(tbLancamentos[Valor],tbLancamentos[Mês],$B14,tbLancamentos[Tipo],"Investimento")</f>
        <v>600</v>
      </c>
      <c r="F14" s="23">
        <f t="shared" si="0"/>
        <v>1268.9699999999989</v>
      </c>
      <c r="G14" s="23">
        <f>SUM($F$7:F14)</f>
        <v>12049.769999999997</v>
      </c>
      <c r="H14" s="24">
        <f t="shared" si="1"/>
        <v>0.31467319931306176</v>
      </c>
    </row>
    <row r="15" spans="2:13" x14ac:dyDescent="0.35">
      <c r="B15" s="22">
        <f t="shared" si="2"/>
        <v>46266</v>
      </c>
      <c r="C15" s="23">
        <f>SUMIFS(tbLancamentos[Valor],tbLancamentos[Mês],$B15,tbLancamentos[Tipo],"Receita")</f>
        <v>5800</v>
      </c>
      <c r="D15" s="23">
        <f>SUMIFS(tbLancamentos[Valor],tbLancamentos[Mês],$B15,tbLancamentos[Tipo],"Despesa")</f>
        <v>3742.25</v>
      </c>
      <c r="E15" s="23">
        <f>SUMIFS(tbLancamentos[Valor],tbLancamentos[Mês],$B15,tbLancamentos[Tipo],"Investimento")</f>
        <v>1017.04</v>
      </c>
      <c r="F15" s="23">
        <f t="shared" si="0"/>
        <v>1040.71</v>
      </c>
      <c r="G15" s="23">
        <f>SUM($F$7:F15)</f>
        <v>13090.479999999996</v>
      </c>
      <c r="H15" s="24">
        <f t="shared" si="1"/>
        <v>0.35478448275862068</v>
      </c>
    </row>
    <row r="16" spans="2:13" x14ac:dyDescent="0.35">
      <c r="B16" s="22">
        <f t="shared" si="2"/>
        <v>46296</v>
      </c>
      <c r="C16" s="23">
        <f>SUMIFS(tbLancamentos[Valor],tbLancamentos[Mês],$B16,tbLancamentos[Tipo],"Receita")</f>
        <v>5800</v>
      </c>
      <c r="D16" s="23">
        <f>SUMIFS(tbLancamentos[Valor],tbLancamentos[Mês],$B16,tbLancamentos[Tipo],"Despesa")</f>
        <v>4095.0000000000005</v>
      </c>
      <c r="E16" s="23">
        <f>SUMIFS(tbLancamentos[Valor],tbLancamentos[Mês],$B16,tbLancamentos[Tipo],"Investimento")</f>
        <v>851.49</v>
      </c>
      <c r="F16" s="23">
        <f t="shared" si="0"/>
        <v>853.50999999999954</v>
      </c>
      <c r="G16" s="23">
        <f>SUM($F$7:F16)</f>
        <v>13943.989999999996</v>
      </c>
      <c r="H16" s="24">
        <f t="shared" si="1"/>
        <v>0.29396551724137926</v>
      </c>
    </row>
    <row r="17" spans="2:8" x14ac:dyDescent="0.35">
      <c r="B17" s="22">
        <f t="shared" si="2"/>
        <v>46327</v>
      </c>
      <c r="C17" s="23">
        <f>SUMIFS(tbLancamentos[Valor],tbLancamentos[Mês],$B17,tbLancamentos[Tipo],"Receita")</f>
        <v>0</v>
      </c>
      <c r="D17" s="23">
        <f>SUMIFS(tbLancamentos[Valor],tbLancamentos[Mês],$B17,tbLancamentos[Tipo],"Despesa")</f>
        <v>0</v>
      </c>
      <c r="E17" s="23">
        <f>SUMIFS(tbLancamentos[Valor],tbLancamentos[Mês],$B17,tbLancamentos[Tipo],"Investimento")</f>
        <v>0</v>
      </c>
      <c r="F17" s="23">
        <f t="shared" si="0"/>
        <v>0</v>
      </c>
      <c r="G17" s="23">
        <f>SUM($F$7:F17)</f>
        <v>13943.989999999996</v>
      </c>
      <c r="H17" s="24" t="str">
        <f t="shared" si="1"/>
        <v/>
      </c>
    </row>
    <row r="18" spans="2:8" ht="15.6" thickBot="1" x14ac:dyDescent="0.4">
      <c r="B18" s="25">
        <f t="shared" si="2"/>
        <v>46357</v>
      </c>
      <c r="C18" s="26">
        <f>SUMIFS(tbLancamentos[Valor],tbLancamentos[Mês],$B18,tbLancamentos[Tipo],"Receita")</f>
        <v>0</v>
      </c>
      <c r="D18" s="26">
        <f>SUMIFS(tbLancamentos[Valor],tbLancamentos[Mês],$B18,tbLancamentos[Tipo],"Despesa")</f>
        <v>0</v>
      </c>
      <c r="E18" s="26">
        <f>SUMIFS(tbLancamentos[Valor],tbLancamentos[Mês],$B18,tbLancamentos[Tipo],"Investimento")</f>
        <v>0</v>
      </c>
      <c r="F18" s="26">
        <f t="shared" si="0"/>
        <v>0</v>
      </c>
      <c r="G18" s="26">
        <f>SUM($F$7:F18)</f>
        <v>13943.989999999996</v>
      </c>
      <c r="H18" s="27" t="str">
        <f t="shared" si="1"/>
        <v/>
      </c>
    </row>
    <row r="19" spans="2:8" x14ac:dyDescent="0.35">
      <c r="B19" s="12" t="s">
        <v>113</v>
      </c>
      <c r="C19" s="17">
        <f>SUM(C7:C18)</f>
        <v>61156.69</v>
      </c>
      <c r="D19" s="17">
        <f>SUM(D7:D18)</f>
        <v>39958.020000000004</v>
      </c>
      <c r="E19" s="17">
        <f>SUM(E7:E18)</f>
        <v>7254.6799999999994</v>
      </c>
      <c r="F19" s="17">
        <f>SUM(F7:F18)</f>
        <v>13943.989999999996</v>
      </c>
      <c r="G19" s="17"/>
      <c r="H19" s="18">
        <f>IF(C19=0,"",(C19-D19)/C19)</f>
        <v>0.34662879890981668</v>
      </c>
    </row>
  </sheetData>
  <conditionalFormatting sqref="F7:F18">
    <cfRule type="dataBar" priority="2">
      <dataBar>
        <cfvo type="min"/>
        <cfvo type="max"/>
        <color rgb="FF22B39A"/>
      </dataBar>
      <extLst>
        <ext xmlns:x14="http://schemas.microsoft.com/office/spreadsheetml/2009/9/main" uri="{B025F937-C7B1-47D3-B67F-A62EFF666E3E}">
          <x14:id>{3C191B85-4BDE-4154-96A0-60ED57931EE6}</x14:id>
        </ext>
      </extLst>
    </cfRule>
  </conditionalFormatting>
  <conditionalFormatting sqref="F7:G18">
    <cfRule type="cellIs" dxfId="0" priority="1" stopIfTrue="1" operator="lessThan">
      <formula>0</formula>
    </cfRule>
  </conditionalFormatting>
  <conditionalFormatting sqref="H7:H18">
    <cfRule type="dataBar" priority="3">
      <dataBar>
        <cfvo type="num" val="0"/>
        <cfvo type="num" val="1"/>
        <color rgb="FFF2B544"/>
      </dataBar>
      <extLst>
        <ext xmlns:x14="http://schemas.microsoft.com/office/spreadsheetml/2009/9/main" uri="{B025F937-C7B1-47D3-B67F-A62EFF666E3E}">
          <x14:id>{175EB077-427A-4E9A-B5AB-03B153599490}</x14:id>
        </ext>
      </extLst>
    </cfRule>
  </conditionalFormatting>
  <printOptions horizontalCentered="1"/>
  <pageMargins left="0.511811024" right="0.511811024" top="0.78740157499999996" bottom="0.78740157499999996" header="0.31496062000000002" footer="0.31496062000000002"/>
  <pageSetup paperSize="9" scale="80" fitToHeight="0" orientation="landscape" r:id="rId1"/>
  <headerFooter>
    <oddFooter>&amp;CPágina &amp;P de &amp;N&amp;L&amp;A&amp;R&amp;8Criado por Otávio · ottavvi.dev</oddFooter>
  </headerFooter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C191B85-4BDE-4154-96A0-60ED57931EE6}">
            <x14:dataBar minLength="0" maxLength="100" gradient="0" negativeBarColorSameAsPositive="1" axisPosition="none">
              <x14:cfvo type="min"/>
              <x14:cfvo type="max"/>
            </x14:dataBar>
          </x14:cfRule>
          <xm:sqref>F7:F18</xm:sqref>
        </x14:conditionalFormatting>
        <x14:conditionalFormatting xmlns:xm="http://schemas.microsoft.com/office/excel/2006/main">
          <x14:cfRule type="dataBar" id="{175EB077-427A-4E9A-B5AB-03B153599490}">
            <x14:dataBar minLength="0" maxLength="100" gradient="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H7:H18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CEE0D-DE22-43CE-8F37-56A353E073BE}">
  <sheetPr>
    <tabColor rgb="FF23404A"/>
    <pageSetUpPr fitToPage="1"/>
  </sheetPr>
  <dimension ref="B1:M34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35"/>
  <cols>
    <col min="1" max="1" width="2.77734375" style="2" customWidth="1"/>
    <col min="2" max="2" width="110.77734375" style="2" customWidth="1"/>
    <col min="3" max="16384" width="8.88671875" style="2"/>
  </cols>
  <sheetData>
    <row r="1" spans="2:13" ht="34.049999999999997" customHeight="1" x14ac:dyDescent="0.35">
      <c r="B1" s="4" t="s">
        <v>302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2:13" ht="19.95" customHeight="1" x14ac:dyDescent="0.35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2:13" ht="19.95" customHeight="1" x14ac:dyDescent="0.35">
      <c r="B3" s="7" t="str">
        <f>HYPERLINK("#'Painel'!A1","Painel")</f>
        <v>Painel</v>
      </c>
      <c r="C3" s="7" t="str">
        <f>HYPERLINK("#'Celular'!A1","Celular")</f>
        <v>Celular</v>
      </c>
      <c r="D3" s="7" t="str">
        <f>HYPERLINK("#'Lançamentos'!A1","Lançamentos")</f>
        <v>Lançamentos</v>
      </c>
      <c r="E3" s="7" t="str">
        <f>HYPERLINK("#'Contas fixas'!A1","Contas")</f>
        <v>Contas</v>
      </c>
      <c r="F3" s="7" t="str">
        <f>HYPERLINK("#'Cartão'!A1","Cartão")</f>
        <v>Cartão</v>
      </c>
      <c r="G3" s="7" t="str">
        <f>HYPERLINK("#'Dívidas'!A1","Dívidas")</f>
        <v>Dívidas</v>
      </c>
      <c r="H3" s="7" t="str">
        <f>HYPERLINK("#'Categorias'!A1","Categorias")</f>
        <v>Categorias</v>
      </c>
      <c r="I3" s="7" t="str">
        <f>HYPERLINK("#'Metas'!A1","Metas")</f>
        <v>Metas</v>
      </c>
      <c r="J3" s="7" t="str">
        <f>HYPERLINK("#'Patrimônio'!A1","Patrimônio")</f>
        <v>Patrimônio</v>
      </c>
      <c r="K3" s="7" t="str">
        <f>HYPERLINK("#'Simulador'!A1","Simulador")</f>
        <v>Simulador</v>
      </c>
      <c r="L3" s="7" t="str">
        <f>HYPERLINK("#'Resumo'!A1","Resumo")</f>
        <v>Resumo</v>
      </c>
      <c r="M3" s="8" t="s">
        <v>303</v>
      </c>
    </row>
    <row r="5" spans="2:13" ht="19.2" x14ac:dyDescent="0.45">
      <c r="B5" s="191" t="s">
        <v>304</v>
      </c>
    </row>
    <row r="6" spans="2:13" ht="30" x14ac:dyDescent="0.35">
      <c r="B6" s="190" t="s">
        <v>305</v>
      </c>
    </row>
    <row r="7" spans="2:13" x14ac:dyDescent="0.35">
      <c r="B7" s="190" t="s">
        <v>306</v>
      </c>
    </row>
    <row r="8" spans="2:13" ht="30" x14ac:dyDescent="0.35">
      <c r="B8" s="190" t="s">
        <v>307</v>
      </c>
    </row>
    <row r="9" spans="2:13" ht="30" x14ac:dyDescent="0.35">
      <c r="B9" s="190" t="s">
        <v>308</v>
      </c>
    </row>
    <row r="10" spans="2:13" ht="30" x14ac:dyDescent="0.35">
      <c r="B10" s="190" t="s">
        <v>309</v>
      </c>
    </row>
    <row r="11" spans="2:13" ht="30" x14ac:dyDescent="0.35">
      <c r="B11" s="190" t="s">
        <v>310</v>
      </c>
    </row>
    <row r="12" spans="2:13" ht="30" x14ac:dyDescent="0.35">
      <c r="B12" s="190" t="s">
        <v>311</v>
      </c>
    </row>
    <row r="13" spans="2:13" ht="30" x14ac:dyDescent="0.35">
      <c r="B13" s="190" t="s">
        <v>312</v>
      </c>
    </row>
    <row r="14" spans="2:13" ht="30" x14ac:dyDescent="0.35">
      <c r="B14" s="190" t="s">
        <v>313</v>
      </c>
    </row>
    <row r="15" spans="2:13" x14ac:dyDescent="0.35">
      <c r="B15" s="190" t="s">
        <v>314</v>
      </c>
    </row>
    <row r="16" spans="2:13" ht="30" x14ac:dyDescent="0.35">
      <c r="B16" s="190" t="s">
        <v>315</v>
      </c>
    </row>
    <row r="17" spans="2:2" x14ac:dyDescent="0.35">
      <c r="B17" s="190" t="s">
        <v>316</v>
      </c>
    </row>
    <row r="18" spans="2:2" x14ac:dyDescent="0.35">
      <c r="B18" s="190" t="s">
        <v>317</v>
      </c>
    </row>
    <row r="19" spans="2:2" x14ac:dyDescent="0.35">
      <c r="B19" s="190"/>
    </row>
    <row r="20" spans="2:2" ht="19.2" x14ac:dyDescent="0.45">
      <c r="B20" s="191" t="s">
        <v>318</v>
      </c>
    </row>
    <row r="21" spans="2:2" x14ac:dyDescent="0.35">
      <c r="B21" s="192" t="s">
        <v>319</v>
      </c>
    </row>
    <row r="22" spans="2:2" x14ac:dyDescent="0.35">
      <c r="B22" s="190"/>
    </row>
    <row r="23" spans="2:2" ht="19.2" x14ac:dyDescent="0.45">
      <c r="B23" s="191" t="s">
        <v>320</v>
      </c>
    </row>
    <row r="24" spans="2:2" x14ac:dyDescent="0.35">
      <c r="B24" s="190" t="s">
        <v>321</v>
      </c>
    </row>
    <row r="25" spans="2:2" ht="30" x14ac:dyDescent="0.35">
      <c r="B25" s="190" t="s">
        <v>322</v>
      </c>
    </row>
    <row r="26" spans="2:2" x14ac:dyDescent="0.35">
      <c r="B26" s="190"/>
    </row>
    <row r="27" spans="2:2" ht="19.2" x14ac:dyDescent="0.45">
      <c r="B27" s="191" t="s">
        <v>323</v>
      </c>
    </row>
    <row r="28" spans="2:2" ht="30" x14ac:dyDescent="0.35">
      <c r="B28" s="190" t="s">
        <v>324</v>
      </c>
    </row>
    <row r="29" spans="2:2" x14ac:dyDescent="0.35">
      <c r="B29" s="190" t="s">
        <v>325</v>
      </c>
    </row>
    <row r="31" spans="2:2" ht="19.2" x14ac:dyDescent="0.45">
      <c r="B31" s="194" t="s">
        <v>327</v>
      </c>
    </row>
    <row r="32" spans="2:2" x14ac:dyDescent="0.35">
      <c r="B32" s="2" t="s">
        <v>328</v>
      </c>
    </row>
    <row r="33" spans="2:2" x14ac:dyDescent="0.35">
      <c r="B33" s="2" t="s">
        <v>329</v>
      </c>
    </row>
    <row r="34" spans="2:2" x14ac:dyDescent="0.35">
      <c r="B34" s="195" t="str">
        <f>HYPERLINK("https://ottavvi.github.io/site-portfolio/","Criado por Otávio · ottavvi.dev")</f>
        <v>Criado por Otávio · ottavvi.dev</v>
      </c>
    </row>
  </sheetData>
  <printOptions horizontalCentered="1"/>
  <pageMargins left="0.511811024" right="0.511811024" top="0.78740157499999996" bottom="0.78740157499999996" header="0.31496062000000002" footer="0.31496062000000002"/>
  <pageSetup paperSize="9" scale="64" fitToHeight="0" orientation="landscape" r:id="rId1"/>
  <headerFooter>
    <oddFooter>&amp;CPágina &amp;P de &amp;N&amp;L&amp;A&amp;R&amp;8Criado por Otávio · ottavvi.dev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AE657-9C72-4616-9128-6D4D3E255FDA}">
  <dimension ref="B1:N19"/>
  <sheetViews>
    <sheetView workbookViewId="0"/>
  </sheetViews>
  <sheetFormatPr defaultRowHeight="15" x14ac:dyDescent="0.35"/>
  <cols>
    <col min="1" max="1" width="8.88671875" style="1"/>
    <col min="2" max="2" width="18.77734375" style="1" customWidth="1"/>
    <col min="3" max="16384" width="8.88671875" style="1"/>
  </cols>
  <sheetData>
    <row r="1" spans="2:14" x14ac:dyDescent="0.35">
      <c r="B1" s="1" t="s">
        <v>121</v>
      </c>
    </row>
    <row r="2" spans="2:14" x14ac:dyDescent="0.35">
      <c r="G2" s="1" t="s">
        <v>45</v>
      </c>
      <c r="H2" s="1" t="s">
        <v>143</v>
      </c>
      <c r="I2" s="1" t="s">
        <v>144</v>
      </c>
      <c r="K2" s="1" t="s">
        <v>3</v>
      </c>
      <c r="L2" s="1" t="s">
        <v>209</v>
      </c>
      <c r="M2" s="1" t="s">
        <v>210</v>
      </c>
      <c r="N2" s="1" t="s">
        <v>211</v>
      </c>
    </row>
    <row r="3" spans="2:14" x14ac:dyDescent="0.35">
      <c r="B3" s="1" t="s">
        <v>14</v>
      </c>
      <c r="C3" s="1">
        <f>SUMIFS(tbLancamentos[Valor],tbLancamentos[Mês],Painel!$M$3,tbLancamentos[Grupo],B3)</f>
        <v>3107.4</v>
      </c>
      <c r="E3" s="29">
        <f>Painel!$B$7</f>
        <v>5800</v>
      </c>
      <c r="G3" s="1">
        <f>IFERROR(_xlfn.AGGREGATE(14,6,tbLancamentos[Valor]/((tbLancamentos[Mês]=Painel!$M$3)*(tbLancamentos[Tipo]="Despesa")),ROWS(G$3:G3)),"")</f>
        <v>1200</v>
      </c>
      <c r="H3" s="1">
        <f>IF(G3="","",COUNTIF(G$3:G3,G3))</f>
        <v>1</v>
      </c>
      <c r="I3" s="1">
        <f>IF(G3="","",_xlfn.AGGREGATE(15,6,(ROW(tbLancamentos[Valor])-ROW(tbLancamentos[[#Headers],[Valor]]))/((tbLancamentos[Mês]=Painel!$M$3)*(tbLancamentos[Tipo]="Despesa")*(tbLancamentos[Valor]=G3)),H3))</f>
        <v>274</v>
      </c>
      <c r="K3" s="1" t="str">
        <f>Painel!B29</f>
        <v>Moradia</v>
      </c>
      <c r="L3" s="1">
        <f>IF(K3="","",IF(INDEX(tbCategorias[Tipo],MATCH(K3,tbCategorias[Categoria],0))&lt;&gt;"Despesa","",SUMIFS(tbLancamentos[Valor],tbLancamentos[Mês],Celular!$C$6,tbLancamentos[Categoria],K3)+ROWS(L$3:L3)/1000000))</f>
        <v>1200.0000010000001</v>
      </c>
      <c r="M3" s="1">
        <f>IFERROR(LARGE($L$3:$L$17,ROWS(M$3:M3)),"")</f>
        <v>1200.0000010000001</v>
      </c>
      <c r="N3" s="1" t="str">
        <f t="shared" ref="N3:N7" si="0">IF(M3="","",INDEX($K$3:$K$17,MATCH(M3,$L$3:$L$17,0)))</f>
        <v>Moradia</v>
      </c>
    </row>
    <row r="4" spans="2:14" x14ac:dyDescent="0.35">
      <c r="B4" s="1" t="s">
        <v>21</v>
      </c>
      <c r="C4" s="1">
        <f>SUMIFS(tbLancamentos[Valor],tbLancamentos[Mês],Painel!$M$3,tbLancamentos[Grupo],B4)</f>
        <v>987.59999999999991</v>
      </c>
      <c r="G4" s="1">
        <f>IFERROR(_xlfn.AGGREGATE(14,6,tbLancamentos[Valor]/((tbLancamentos[Mês]=Painel!$M$3)*(tbLancamentos[Tipo]="Despesa")),ROWS(G$3:G4)),"")</f>
        <v>406.92</v>
      </c>
      <c r="H4" s="1">
        <f>IF(G4="","",COUNTIF(G$3:G4,G4))</f>
        <v>1</v>
      </c>
      <c r="I4" s="1">
        <f>IF(G4="","",_xlfn.AGGREGATE(15,6,(ROW(tbLancamentos[Valor])-ROW(tbLancamentos[[#Headers],[Valor]]))/((tbLancamentos[Mês]=Painel!$M$3)*(tbLancamentos[Tipo]="Despesa")*(tbLancamentos[Valor]=G4)),H4))</f>
        <v>280</v>
      </c>
      <c r="K4" s="1" t="str">
        <f>Painel!B30</f>
        <v>Contas da casa</v>
      </c>
      <c r="L4" s="1">
        <f>IF(K4="","",IF(INDEX(tbCategorias[Tipo],MATCH(K4,tbCategorias[Categoria],0))&lt;&gt;"Despesa","",SUMIFS(tbLancamentos[Valor],tbLancamentos[Mês],Celular!$C$6,tbLancamentos[Categoria],K4)+ROWS(L$3:L4)/1000000))</f>
        <v>395.05000199999995</v>
      </c>
      <c r="M4" s="1">
        <f>IFERROR(LARGE($L$3:$L$17,ROWS(M$3:M4)),"")</f>
        <v>908.60000300000002</v>
      </c>
      <c r="N4" s="1" t="str">
        <f t="shared" si="0"/>
        <v>Mercado</v>
      </c>
    </row>
    <row r="5" spans="2:14" x14ac:dyDescent="0.35">
      <c r="B5" s="1" t="s">
        <v>27</v>
      </c>
      <c r="C5" s="1">
        <f>SUMIFS(tbLancamentos[Valor],tbLancamentos[Mês],Painel!$M$3,tbLancamentos[Grupo],B5)</f>
        <v>851.49</v>
      </c>
      <c r="G5" s="1">
        <f>IFERROR(_xlfn.AGGREGATE(14,6,tbLancamentos[Valor]/((tbLancamentos[Mês]=Painel!$M$3)*(tbLancamentos[Tipo]="Despesa")),ROWS(G$3:G5)),"")</f>
        <v>318.36</v>
      </c>
      <c r="H5" s="1">
        <f>IF(G5="","",COUNTIF(G$3:G5,G5))</f>
        <v>1</v>
      </c>
      <c r="I5" s="1">
        <f>IF(G5="","",_xlfn.AGGREGATE(15,6,(ROW(tbLancamentos[Valor])-ROW(tbLancamentos[[#Headers],[Valor]]))/((tbLancamentos[Mês]=Painel!$M$3)*(tbLancamentos[Tipo]="Despesa")*(tbLancamentos[Valor]=G5)),H5))</f>
        <v>267</v>
      </c>
      <c r="K5" s="1" t="str">
        <f>Painel!B31</f>
        <v>Mercado</v>
      </c>
      <c r="L5" s="1">
        <f>IF(K5="","",IF(INDEX(tbCategorias[Tipo],MATCH(K5,tbCategorias[Categoria],0))&lt;&gt;"Despesa","",SUMIFS(tbLancamentos[Valor],tbLancamentos[Mês],Celular!$C$6,tbLancamentos[Categoria],K5)+ROWS(L$3:L5)/1000000))</f>
        <v>908.60000300000002</v>
      </c>
      <c r="M5" s="1">
        <f>IFERROR(LARGE($L$3:$L$17,ROWS(M$3:M5)),"")</f>
        <v>406.92000999999999</v>
      </c>
      <c r="N5" s="1" t="str">
        <f t="shared" si="0"/>
        <v>Compras</v>
      </c>
    </row>
    <row r="6" spans="2:14" x14ac:dyDescent="0.35">
      <c r="B6" s="1" t="s">
        <v>122</v>
      </c>
      <c r="C6" s="1">
        <f>MAX(0,Painel!$K$7)</f>
        <v>853.50999999999954</v>
      </c>
      <c r="G6" s="1">
        <f>IFERROR(_xlfn.AGGREGATE(14,6,tbLancamentos[Valor]/((tbLancamentos[Mês]=Painel!$M$3)*(tbLancamentos[Tipo]="Despesa")),ROWS(G$3:G6)),"")</f>
        <v>308.89999999999998</v>
      </c>
      <c r="H6" s="1">
        <f>IF(G6="","",COUNTIF(G$3:G6,G6))</f>
        <v>1</v>
      </c>
      <c r="I6" s="1">
        <f>IF(G6="","",_xlfn.AGGREGATE(15,6,(ROW(tbLancamentos[Valor])-ROW(tbLancamentos[[#Headers],[Valor]]))/((tbLancamentos[Mês]=Painel!$M$3)*(tbLancamentos[Tipo]="Despesa")*(tbLancamentos[Valor]=G6)),H6))</f>
        <v>278</v>
      </c>
      <c r="K6" s="1" t="str">
        <f>Painel!B32</f>
        <v>Transporte</v>
      </c>
      <c r="L6" s="1">
        <f>IF(K6="","",IF(INDEX(tbCategorias[Tipo],MATCH(K6,tbCategorias[Categoria],0))&lt;&gt;"Despesa","",SUMIFS(tbLancamentos[Valor],tbLancamentos[Mês],Celular!$C$6,tbLancamentos[Categoria],K6)+ROWS(L$3:L6)/1000000))</f>
        <v>314.62000399999999</v>
      </c>
      <c r="M6" s="1">
        <f>IFERROR(LARGE($L$3:$L$17,ROWS(M$3:M6)),"")</f>
        <v>395.05000199999995</v>
      </c>
      <c r="N6" s="1" t="str">
        <f t="shared" si="0"/>
        <v>Contas da casa</v>
      </c>
    </row>
    <row r="7" spans="2:14" x14ac:dyDescent="0.35">
      <c r="G7" s="1">
        <f>IFERROR(_xlfn.AGGREGATE(14,6,tbLancamentos[Valor]/((tbLancamentos[Mês]=Painel!$M$3)*(tbLancamentos[Tipo]="Despesa")),ROWS(G$3:G7)),"")</f>
        <v>165.63</v>
      </c>
      <c r="H7" s="1">
        <f>IF(G7="","",COUNTIF(G$3:G7,G7))</f>
        <v>1</v>
      </c>
      <c r="I7" s="1">
        <f>IF(G7="","",_xlfn.AGGREGATE(15,6,(ROW(tbLancamentos[Valor])-ROW(tbLancamentos[[#Headers],[Valor]]))/((tbLancamentos[Mês]=Painel!$M$3)*(tbLancamentos[Tipo]="Despesa")*(tbLancamentos[Valor]=G7)),H7))</f>
        <v>279</v>
      </c>
      <c r="K7" s="1" t="str">
        <f>Painel!B33</f>
        <v>Saúde</v>
      </c>
      <c r="L7" s="1">
        <f>IF(K7="","",IF(INDEX(tbCategorias[Tipo],MATCH(K7,tbCategorias[Categoria],0))&lt;&gt;"Despesa","",SUMIFS(tbLancamentos[Valor],tbLancamentos[Mês],Celular!$C$6,tbLancamentos[Categoria],K7)+ROWS(L$3:L7)/1000000))</f>
        <v>209.23000500000001</v>
      </c>
      <c r="M7" s="1">
        <f>IFERROR(LARGE($L$3:$L$17,ROWS(M$3:M7)),"")</f>
        <v>314.62000399999999</v>
      </c>
      <c r="N7" s="1" t="str">
        <f t="shared" si="0"/>
        <v>Transporte</v>
      </c>
    </row>
    <row r="8" spans="2:14" x14ac:dyDescent="0.35">
      <c r="G8" s="1">
        <f>IFERROR(_xlfn.AGGREGATE(14,6,tbLancamentos[Valor]/((tbLancamentos[Mês]=Painel!$M$3)*(tbLancamentos[Tipo]="Despesa")),ROWS(G$3:G8)),"")</f>
        <v>160.93</v>
      </c>
      <c r="H8" s="1">
        <f>IF(G8="","",COUNTIF(G$3:G8,G8))</f>
        <v>1</v>
      </c>
      <c r="I8" s="1">
        <f>IF(G8="","",_xlfn.AGGREGATE(15,6,(ROW(tbLancamentos[Valor])-ROW(tbLancamentos[[#Headers],[Valor]]))/((tbLancamentos[Mês]=Painel!$M$3)*(tbLancamentos[Tipo]="Despesa")*(tbLancamentos[Valor]=G8)),H8))</f>
        <v>285</v>
      </c>
      <c r="K8" s="1" t="str">
        <f>Painel!B34</f>
        <v>Educação</v>
      </c>
      <c r="L8" s="1">
        <f>IF(K8="","",IF(INDEX(tbCategorias[Tipo],MATCH(K8,tbCategorias[Categoria],0))&lt;&gt;"Despesa","",SUMIFS(tbLancamentos[Valor],tbLancamentos[Mês],Celular!$C$6,tbLancamentos[Categoria],K8)+ROWS(L$3:L8)/1000000))</f>
        <v>79.900006000000005</v>
      </c>
    </row>
    <row r="9" spans="2:14" x14ac:dyDescent="0.35">
      <c r="G9" s="1">
        <f>IFERROR(_xlfn.AGGREGATE(14,6,tbLancamentos[Valor]/((tbLancamentos[Mês]=Painel!$M$3)*(tbLancamentos[Tipo]="Despesa")),ROWS(G$3:G9)),"")</f>
        <v>153.36000000000001</v>
      </c>
      <c r="H9" s="1">
        <f>IF(G9="","",COUNTIF(G$3:G9,G9))</f>
        <v>1</v>
      </c>
      <c r="I9" s="1">
        <f>IF(G9="","",_xlfn.AGGREGATE(15,6,(ROW(tbLancamentos[Valor])-ROW(tbLancamentos[[#Headers],[Valor]]))/((tbLancamentos[Mês]=Painel!$M$3)*(tbLancamentos[Tipo]="Despesa")*(tbLancamentos[Valor]=G9)),H9))</f>
        <v>289</v>
      </c>
      <c r="K9" s="1" t="str">
        <f>Painel!B35</f>
        <v>Restaurantes e delivery</v>
      </c>
      <c r="L9" s="1">
        <f>IF(K9="","",IF(INDEX(tbCategorias[Tipo],MATCH(K9,tbCategorias[Categoria],0))&lt;&gt;"Despesa","",SUMIFS(tbLancamentos[Valor],tbLancamentos[Mês],Celular!$C$6,tbLancamentos[Categoria],K9)+ROWS(L$3:L9)/1000000))</f>
        <v>206.14000700000003</v>
      </c>
    </row>
    <row r="10" spans="2:14" x14ac:dyDescent="0.35">
      <c r="B10" s="1" t="str">
        <f>Categorias!J7</f>
        <v>Pix</v>
      </c>
      <c r="C10" s="1">
        <f>SUMIFS(tbLancamentos[Valor],tbLancamentos[Mês],Painel!$M$3,tbLancamentos[Pagamento],B10,tbLancamentos[Tipo],"&lt;&gt;Receita")</f>
        <v>1290.02</v>
      </c>
      <c r="E10" s="29">
        <f>SUM(C10:C14)</f>
        <v>4946.49</v>
      </c>
      <c r="K10" s="1" t="str">
        <f>Painel!B36</f>
        <v>Lazer</v>
      </c>
      <c r="L10" s="1">
        <f>IF(K10="","",IF(INDEX(tbCategorias[Tipo],MATCH(K10,tbCategorias[Categoria],0))&lt;&gt;"Despesa","",SUMIFS(tbLancamentos[Valor],tbLancamentos[Mês],Celular!$C$6,tbLancamentos[Categoria],K10)+ROWS(L$3:L10)/1000000))</f>
        <v>178.11000800000002</v>
      </c>
    </row>
    <row r="11" spans="2:14" x14ac:dyDescent="0.35">
      <c r="B11" s="1" t="str">
        <f>Categorias!J8</f>
        <v>Cartão de crédito</v>
      </c>
      <c r="C11" s="1">
        <f>SUMIFS(tbLancamentos[Valor],tbLancamentos[Mês],Painel!$M$3,tbLancamentos[Pagamento],B11,tbLancamentos[Tipo],"&lt;&gt;Receita")</f>
        <v>1738.2400000000005</v>
      </c>
      <c r="K11" s="1" t="str">
        <f>Painel!B37</f>
        <v>Assinaturas</v>
      </c>
      <c r="L11" s="1">
        <f>IF(K11="","",IF(INDEX(tbCategorias[Tipo],MATCH(K11,tbCategorias[Categoria],0))&lt;&gt;"Despesa","",SUMIFS(tbLancamentos[Valor],tbLancamentos[Mês],Celular!$C$6,tbLancamentos[Categoria],K11)+ROWS(L$3:L11)/1000000))</f>
        <v>66.800009000000003</v>
      </c>
    </row>
    <row r="12" spans="2:14" x14ac:dyDescent="0.35">
      <c r="B12" s="1" t="str">
        <f>Categorias!J9</f>
        <v>Débito</v>
      </c>
      <c r="C12" s="1">
        <f>SUMIFS(tbLancamentos[Valor],tbLancamentos[Mês],Painel!$M$3,tbLancamentos[Pagamento],B12,tbLancamentos[Tipo],"&lt;&gt;Receita")</f>
        <v>310.26000000000005</v>
      </c>
      <c r="K12" s="1" t="str">
        <f>Painel!B38</f>
        <v>Compras</v>
      </c>
      <c r="L12" s="1">
        <f>IF(K12="","",IF(INDEX(tbCategorias[Tipo],MATCH(K12,tbCategorias[Categoria],0))&lt;&gt;"Despesa","",SUMIFS(tbLancamentos[Valor],tbLancamentos[Mês],Celular!$C$6,tbLancamentos[Categoria],K12)+ROWS(L$3:L12)/1000000))</f>
        <v>406.92000999999999</v>
      </c>
    </row>
    <row r="13" spans="2:14" x14ac:dyDescent="0.35">
      <c r="B13" s="1" t="str">
        <f>Categorias!J10</f>
        <v>Boleto</v>
      </c>
      <c r="C13" s="1">
        <f>SUMIFS(tbLancamentos[Valor],tbLancamentos[Mês],Painel!$M$3,tbLancamentos[Pagamento],B13,tbLancamentos[Tipo],"&lt;&gt;Receita")</f>
        <v>1505.15</v>
      </c>
      <c r="K13" s="1" t="str">
        <f>Painel!B39</f>
        <v>Outros</v>
      </c>
      <c r="L13" s="1">
        <f>IF(K13="","",IF(INDEX(tbCategorias[Tipo],MATCH(K13,tbCategorias[Categoria],0))&lt;&gt;"Despesa","",SUMIFS(tbLancamentos[Valor],tbLancamentos[Mês],Celular!$C$6,tbLancamentos[Categoria],K13)+ROWS(L$3:L13)/1000000))</f>
        <v>129.630011</v>
      </c>
    </row>
    <row r="14" spans="2:14" x14ac:dyDescent="0.35">
      <c r="B14" s="1" t="str">
        <f>Categorias!J11</f>
        <v>Dinheiro</v>
      </c>
      <c r="C14" s="1">
        <f>SUMIFS(tbLancamentos[Valor],tbLancamentos[Mês],Painel!$M$3,tbLancamentos[Pagamento],B14,tbLancamentos[Tipo],"&lt;&gt;Receita")</f>
        <v>102.82</v>
      </c>
      <c r="K14" s="1" t="str">
        <f>Painel!B40</f>
        <v>Investimentos</v>
      </c>
      <c r="L14" s="1" t="str">
        <f>IF(K14="","",IF(INDEX(tbCategorias[Tipo],MATCH(K14,tbCategorias[Categoria],0))&lt;&gt;"Despesa","",SUMIFS(tbLancamentos[Valor],tbLancamentos[Mês],Celular!$C$6,tbLancamentos[Categoria],K14)+ROWS(L$3:L14)/1000000))</f>
        <v/>
      </c>
    </row>
    <row r="15" spans="2:14" x14ac:dyDescent="0.35">
      <c r="K15" s="1" t="str">
        <f>Painel!B41</f>
        <v/>
      </c>
      <c r="L15" s="1" t="str">
        <f>IF(K15="","",IF(INDEX(tbCategorias[Tipo],MATCH(K15,tbCategorias[Categoria],0))&lt;&gt;"Despesa","",SUMIFS(tbLancamentos[Valor],tbLancamentos[Mês],Celular!$C$6,tbLancamentos[Categoria],K15)+ROWS(L$3:L15)/1000000))</f>
        <v/>
      </c>
    </row>
    <row r="16" spans="2:14" x14ac:dyDescent="0.35">
      <c r="K16" s="1" t="str">
        <f>Painel!B42</f>
        <v/>
      </c>
      <c r="L16" s="1" t="str">
        <f>IF(K16="","",IF(INDEX(tbCategorias[Tipo],MATCH(K16,tbCategorias[Categoria],0))&lt;&gt;"Despesa","",SUMIFS(tbLancamentos[Valor],tbLancamentos[Mês],Celular!$C$6,tbLancamentos[Categoria],K16)+ROWS(L$3:L16)/1000000))</f>
        <v/>
      </c>
    </row>
    <row r="17" spans="2:12" x14ac:dyDescent="0.35">
      <c r="B17" s="1" t="s">
        <v>123</v>
      </c>
      <c r="C17" s="1">
        <f>MAX(0,MIN(1,Painel!$N$7))</f>
        <v>0.29396551724137926</v>
      </c>
      <c r="E17" s="30">
        <f>Painel!$N$7</f>
        <v>0.29396551724137926</v>
      </c>
      <c r="K17" s="1" t="str">
        <f>Painel!B43</f>
        <v/>
      </c>
      <c r="L17" s="1" t="str">
        <f>IF(K17="","",IF(INDEX(tbCategorias[Tipo],MATCH(K17,tbCategorias[Categoria],0))&lt;&gt;"Despesa","",SUMIFS(tbLancamentos[Valor],tbLancamentos[Mês],Celular!$C$6,tbLancamentos[Categoria],K17)+ROWS(L$3:L17)/1000000))</f>
        <v/>
      </c>
    </row>
    <row r="18" spans="2:12" x14ac:dyDescent="0.35">
      <c r="B18" s="1" t="s">
        <v>124</v>
      </c>
      <c r="C18" s="1">
        <f>1-C17</f>
        <v>0.70603448275862069</v>
      </c>
    </row>
    <row r="19" spans="2:12" x14ac:dyDescent="0.35">
      <c r="B19" s="1" t="s">
        <v>125</v>
      </c>
      <c r="C19" s="1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13</vt:i4>
      </vt:variant>
      <vt:variant>
        <vt:lpstr>Intervalos Nomeados</vt:lpstr>
      </vt:variant>
      <vt:variant>
        <vt:i4>8</vt:i4>
      </vt:variant>
    </vt:vector>
  </HeadingPairs>
  <TitlesOfParts>
    <vt:vector size="21" baseType="lpstr">
      <vt:lpstr>Painel</vt:lpstr>
      <vt:lpstr>Celular</vt:lpstr>
      <vt:lpstr>Lançamentos</vt:lpstr>
      <vt:lpstr>Contas fixas</vt:lpstr>
      <vt:lpstr>Cartão</vt:lpstr>
      <vt:lpstr>Dívidas</vt:lpstr>
      <vt:lpstr>Categorias</vt:lpstr>
      <vt:lpstr>Metas</vt:lpstr>
      <vt:lpstr>Patrimônio</vt:lpstr>
      <vt:lpstr>Simulador</vt:lpstr>
      <vt:lpstr>Resumo</vt:lpstr>
      <vt:lpstr>Como usar</vt:lpstr>
      <vt:lpstr>Calc</vt:lpstr>
      <vt:lpstr>Painel!Area_de_impressao</vt:lpstr>
      <vt:lpstr>lstCartoes</vt:lpstr>
      <vt:lpstr>lstCategorias</vt:lpstr>
      <vt:lpstr>lstGrupos</vt:lpstr>
      <vt:lpstr>lstMeses</vt:lpstr>
      <vt:lpstr>lstPagamento</vt:lpstr>
      <vt:lpstr>lstTipos</vt:lpstr>
      <vt:lpstr>lstTiposPatrimonio</vt:lpstr>
    </vt:vector>
  </TitlesOfParts>
  <Company>ottavvi.dev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Organização financeira</dc:title>
  <dc:subject>Finanças pessoais: lançamentos, orçamento, contas, cartão, dívidas, metas e patrimônio</dc:subject>
  <dc:creator>Otávio</dc:creator>
  <dc:description>Criado por Otávio · https://ottavvi.github.io/site-portfolio/</dc:description>
  <cp:lastModifiedBy>Otávio Luiz Oliveira Medeiros</cp:lastModifiedBy>
  <cp:lastPrinted>2026-10-26T19:56:23Z</cp:lastPrinted>
  <dcterms:created xsi:type="dcterms:W3CDTF">2026-10-26T19:55:37Z</dcterms:created>
  <dcterms:modified xsi:type="dcterms:W3CDTF">2026-10-26T20:51:04Z</dcterms:modified>
</cp:coreProperties>
</file>